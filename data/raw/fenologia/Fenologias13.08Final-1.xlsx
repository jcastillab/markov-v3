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arbanzo" sheetId="1" state="visible" r:id="rId3"/>
    <sheet name="Rayando 1" sheetId="2" state="visible" r:id="rId4"/>
    <sheet name="Separando S" sheetId="3" state="visible" r:id="rId5"/>
    <sheet name="Definiendo P" sheetId="4" state="visible" r:id="rId6"/>
    <sheet name="Grafic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<sst xmlns="http://schemas.openxmlformats.org/spreadsheetml/2006/main" count="1362" uniqueCount="42">
  <si>
    <t xml:space="preserve">Etiqueta</t>
  </si>
  <si>
    <t xml:space="preserve">Fenologia</t>
  </si>
  <si>
    <t xml:space="preserve">Tamaño (mm)</t>
  </si>
  <si>
    <t xml:space="preserve">Cama</t>
  </si>
  <si>
    <t xml:space="preserve">G</t>
  </si>
  <si>
    <t xml:space="preserve">RC1</t>
  </si>
  <si>
    <t xml:space="preserve">RC2</t>
  </si>
  <si>
    <t xml:space="preserve">RC3</t>
  </si>
  <si>
    <t xml:space="preserve">RC4</t>
  </si>
  <si>
    <t xml:space="preserve">DG</t>
  </si>
  <si>
    <t xml:space="preserve">X</t>
  </si>
  <si>
    <t xml:space="preserve">RC5</t>
  </si>
  <si>
    <t xml:space="preserve">1 Dia</t>
  </si>
  <si>
    <t xml:space="preserve">2 Dias</t>
  </si>
  <si>
    <t xml:space="preserve">3 Dias</t>
  </si>
  <si>
    <t xml:space="preserve">4 Dias</t>
  </si>
  <si>
    <t xml:space="preserve">5 Dias</t>
  </si>
  <si>
    <t xml:space="preserve">6 Dias</t>
  </si>
  <si>
    <t xml:space="preserve">7 Dias</t>
  </si>
  <si>
    <t xml:space="preserve">Rayando 1</t>
  </si>
  <si>
    <t xml:space="preserve">S5S</t>
  </si>
  <si>
    <t xml:space="preserve">S2S</t>
  </si>
  <si>
    <t xml:space="preserve">S1S</t>
  </si>
  <si>
    <t xml:space="preserve">S4S</t>
  </si>
  <si>
    <t xml:space="preserve">S3S</t>
  </si>
  <si>
    <t xml:space="preserve">SP</t>
  </si>
  <si>
    <t xml:space="preserve">S1</t>
  </si>
  <si>
    <t xml:space="preserve">1P</t>
  </si>
  <si>
    <t xml:space="preserve">R6</t>
  </si>
  <si>
    <t xml:space="preserve">S. 1 Sepalo</t>
  </si>
  <si>
    <t xml:space="preserve">SP 2</t>
  </si>
  <si>
    <t xml:space="preserve">PC</t>
  </si>
  <si>
    <t xml:space="preserve">SP1 1/2</t>
  </si>
  <si>
    <t xml:space="preserve">SP 1/2</t>
  </si>
  <si>
    <t xml:space="preserve">2P</t>
  </si>
  <si>
    <t xml:space="preserve">SP </t>
  </si>
  <si>
    <t xml:space="preserve">SP1</t>
  </si>
  <si>
    <t xml:space="preserve">1 1/2P</t>
  </si>
  <si>
    <t xml:space="preserve">Definiendo P</t>
  </si>
  <si>
    <t xml:space="preserve">SP 1 1/2</t>
  </si>
  <si>
    <t xml:space="preserve">SP2</t>
  </si>
  <si>
    <t xml:space="preserve">SP 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</si>
</sst>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.0"/>
    <numFmt numFmtId="167" formatCode="0.00"/>
    <numFmt numFmtId="168" formatCode="hh:mm\ AM/PM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sz val="10"/>
      <color rgb="FF595959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"/>
        <bgColor rgb="FFD9D9D9"/>
      </patternFill>
    </fill>
    <fill>
      <patternFill patternType="solid">
        <fgColor rgb="FF92D050"/>
        <bgColor rgb="FFB4E5A2"/>
      </patternFill>
    </fill>
    <fill>
      <patternFill patternType="solid">
        <fgColor rgb="FFFF7D7D"/>
        <bgColor rgb="FFFF99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D7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9CCFF"/>
      <rgbColor rgb="FFFF99CC"/>
      <rgbColor rgb="FFCC99FF"/>
      <rgbColor rgb="FFFFC7CE"/>
      <rgbColor rgb="FF3366FF"/>
      <rgbColor rgb="FF46B1E1"/>
      <rgbColor rgb="FF92D050"/>
      <rgbColor rgb="FFFFCC00"/>
      <rgbColor rgb="FFFF9900"/>
      <rgbColor rgb="FFFF6600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CO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Separando</a:t>
            </a:r>
            <a:r>
              <a:rPr lang="es-CO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 1 Sépalo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'Separando S'!$C$54:$H$54</c:f>
              <c:strCache>
                <c:ptCount val="6"/>
                <c:pt idx="0">
                  <c:v>1 Dia</c:v>
                </c:pt>
                <c:pt idx="1">
                  <c:v>2 Dias</c:v>
                </c:pt>
                <c:pt idx="2">
                  <c:v>3 Dias</c:v>
                </c:pt>
                <c:pt idx="3">
                  <c:v>4 Dias</c:v>
                </c:pt>
                <c:pt idx="4">
                  <c:v>5 Dias</c:v>
                </c:pt>
                <c:pt idx="5">
                  <c:v>6 Dias</c:v>
                </c:pt>
              </c:strCache>
            </c:strRef>
          </c:cat>
          <c:val>
            <c:numRef>
              <c:f>'Separando S'!$C$55:$H$55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4</c:v>
                </c:pt>
                <c:pt idx="4">
                  <c:v>1</c:v>
                </c:pt>
                <c:pt idx="5">
                  <c:v>12</c:v>
                </c:pt>
              </c:numCache>
            </c:numRef>
          </c:val>
        </c:ser>
        <c:gapWidth val="219"/>
        <c:overlap val="-27"/>
        <c:axId val="54338657"/>
        <c:axId val="57725771"/>
      </c:barChart>
      <c:catAx>
        <c:axId val="543386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N°</a:t>
                </a:r>
                <a:r>
                  <a:rPr lang="es-CO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 de dias en alcanzar Definiendo Petalo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57725771"/>
        <c:crosses val="autoZero"/>
        <c:auto val="1"/>
        <c:lblAlgn val="ctr"/>
        <c:lblOffset val="100"/>
        <c:noMultiLvlLbl val="0"/>
      </c:catAx>
      <c:valAx>
        <c:axId val="57725771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Numero</a:t>
                </a:r>
                <a:r>
                  <a:rPr lang="es-CO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 de tallos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543386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CO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Rayando</a:t>
            </a:r>
            <a:r>
              <a:rPr lang="es-CO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 1 Color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FFFF00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'Rayando 1'!$C$54:$H$54</c:f>
              <c:strCache>
                <c:ptCount val="6"/>
                <c:pt idx="0">
                  <c:v>1 Dia</c:v>
                </c:pt>
                <c:pt idx="1">
                  <c:v>2 Dias</c:v>
                </c:pt>
                <c:pt idx="2">
                  <c:v>3 Dias</c:v>
                </c:pt>
                <c:pt idx="3">
                  <c:v>4 Dias</c:v>
                </c:pt>
                <c:pt idx="4">
                  <c:v>5 Dias</c:v>
                </c:pt>
                <c:pt idx="5">
                  <c:v>6 Dias</c:v>
                </c:pt>
              </c:strCache>
            </c:strRef>
          </c:cat>
          <c:val>
            <c:numRef>
              <c:f>'Rayando 1'!$C$55:$H$55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16</c:v>
                </c:pt>
                <c:pt idx="5">
                  <c:v>25</c:v>
                </c:pt>
              </c:numCache>
            </c:numRef>
          </c:val>
        </c:ser>
        <c:gapWidth val="219"/>
        <c:overlap val="-27"/>
        <c:axId val="23333412"/>
        <c:axId val="6962513"/>
      </c:barChart>
      <c:catAx>
        <c:axId val="233334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N°</a:t>
                </a:r>
                <a:r>
                  <a:rPr lang="es-CO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 de dias en alcanzar Separando Sepalo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6962513"/>
        <c:crosses val="autoZero"/>
        <c:auto val="1"/>
        <c:lblAlgn val="ctr"/>
        <c:lblOffset val="100"/>
        <c:noMultiLvlLbl val="0"/>
      </c:catAx>
      <c:valAx>
        <c:axId val="6962513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Numero</a:t>
                </a:r>
                <a:r>
                  <a:rPr lang="es-CO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 de tallos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233334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CO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Garbanzo 12 mm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Garbanzo!$L$56:$R$56</c:f>
              <c:strCache>
                <c:ptCount val="7"/>
                <c:pt idx="0">
                  <c:v>1 Dia</c:v>
                </c:pt>
                <c:pt idx="1">
                  <c:v>2 Dias</c:v>
                </c:pt>
                <c:pt idx="2">
                  <c:v>3 Dias</c:v>
                </c:pt>
                <c:pt idx="3">
                  <c:v>4 Dias</c:v>
                </c:pt>
                <c:pt idx="4">
                  <c:v>5 Dias</c:v>
                </c:pt>
                <c:pt idx="5">
                  <c:v>6 Dias</c:v>
                </c:pt>
                <c:pt idx="6">
                  <c:v>7 Dias</c:v>
                </c:pt>
              </c:strCache>
            </c:strRef>
          </c:cat>
          <c:val>
            <c:numRef>
              <c:f>Garbanzo!$L$57:$R$57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7</c:v>
                </c:pt>
                <c:pt idx="5">
                  <c:v>28</c:v>
                </c:pt>
                <c:pt idx="6">
                  <c:v>13</c:v>
                </c:pt>
              </c:numCache>
            </c:numRef>
          </c:val>
        </c:ser>
        <c:gapWidth val="219"/>
        <c:overlap val="-27"/>
        <c:axId val="59166946"/>
        <c:axId val="48762202"/>
      </c:barChart>
      <c:catAx>
        <c:axId val="591669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N°</a:t>
                </a:r>
                <a:r>
                  <a:rPr lang="es-CO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 de dias en alcanzar Rayando Color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48762202"/>
        <c:crosses val="autoZero"/>
        <c:auto val="1"/>
        <c:lblAlgn val="ctr"/>
        <c:lblOffset val="100"/>
        <c:noMultiLvlLbl val="0"/>
      </c:catAx>
      <c:valAx>
        <c:axId val="48762202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Numero</a:t>
                </a:r>
                <a:r>
                  <a:rPr lang="es-CO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 de tallos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591669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CO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Definiendo Petalo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6B1E1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'Rayando 1'!$C$54:$H$54</c:f>
              <c:strCache>
                <c:ptCount val="6"/>
                <c:pt idx="0">
                  <c:v>1 Dia</c:v>
                </c:pt>
                <c:pt idx="1">
                  <c:v>2 Dias</c:v>
                </c:pt>
                <c:pt idx="2">
                  <c:v>3 Dias</c:v>
                </c:pt>
                <c:pt idx="3">
                  <c:v>4 Dias</c:v>
                </c:pt>
                <c:pt idx="4">
                  <c:v>5 Dias</c:v>
                </c:pt>
                <c:pt idx="5">
                  <c:v>6 Dias</c:v>
                </c:pt>
              </c:strCache>
            </c:strRef>
          </c:cat>
          <c:val>
            <c:numRef>
              <c:f>'Rayando 1'!$C$55:$H$55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16</c:v>
                </c:pt>
                <c:pt idx="5">
                  <c:v>25</c:v>
                </c:pt>
              </c:numCache>
            </c:numRef>
          </c:val>
        </c:ser>
        <c:gapWidth val="219"/>
        <c:overlap val="-27"/>
        <c:axId val="80688348"/>
        <c:axId val="71119620"/>
      </c:barChart>
      <c:catAx>
        <c:axId val="806883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N°</a:t>
                </a:r>
                <a:r>
                  <a:rPr lang="es-CO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 de dias en alcanzar Punto de Corte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71119620"/>
        <c:crosses val="autoZero"/>
        <c:auto val="1"/>
        <c:lblAlgn val="ctr"/>
        <c:lblOffset val="100"/>
        <c:noMultiLvlLbl val="0"/>
      </c:catAx>
      <c:valAx>
        <c:axId val="71119620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Numero</a:t>
                </a:r>
                <a:r>
                  <a:rPr lang="es-CO" sz="10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Aptos Narrow"/>
                  </a:rPr>
                  <a:t> de tallos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806883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10080</xdr:rowOff>
    </xdr:from>
    <xdr:to>
      <xdr:col>6</xdr:col>
      <xdr:colOff>646920</xdr:colOff>
      <xdr:row>31</xdr:row>
      <xdr:rowOff>172080</xdr:rowOff>
    </xdr:to>
    <xdr:graphicFrame>
      <xdr:nvGraphicFramePr>
        <xdr:cNvPr id="1" name="Gráfico 1"/>
        <xdr:cNvGraphicFramePr/>
      </xdr:nvGraphicFramePr>
      <xdr:xfrm>
        <a:off x="646920" y="3086640"/>
        <a:ext cx="3882240" cy="269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645480</xdr:colOff>
      <xdr:row>1</xdr:row>
      <xdr:rowOff>0</xdr:rowOff>
    </xdr:from>
    <xdr:to>
      <xdr:col>13</xdr:col>
      <xdr:colOff>645480</xdr:colOff>
      <xdr:row>15</xdr:row>
      <xdr:rowOff>164880</xdr:rowOff>
    </xdr:to>
    <xdr:graphicFrame>
      <xdr:nvGraphicFramePr>
        <xdr:cNvPr id="2" name="Gráfico 2"/>
        <xdr:cNvGraphicFramePr/>
      </xdr:nvGraphicFramePr>
      <xdr:xfrm>
        <a:off x="5175000" y="181080"/>
        <a:ext cx="388224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9000</xdr:colOff>
      <xdr:row>0</xdr:row>
      <xdr:rowOff>172440</xdr:rowOff>
    </xdr:from>
    <xdr:to>
      <xdr:col>7</xdr:col>
      <xdr:colOff>8640</xdr:colOff>
      <xdr:row>15</xdr:row>
      <xdr:rowOff>155880</xdr:rowOff>
    </xdr:to>
    <xdr:graphicFrame>
      <xdr:nvGraphicFramePr>
        <xdr:cNvPr id="3" name="Gráfico 3"/>
        <xdr:cNvGraphicFramePr/>
      </xdr:nvGraphicFramePr>
      <xdr:xfrm>
        <a:off x="655920" y="172440"/>
        <a:ext cx="3882240" cy="269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17</xdr:row>
      <xdr:rowOff>0</xdr:rowOff>
    </xdr:from>
    <xdr:to>
      <xdr:col>13</xdr:col>
      <xdr:colOff>646920</xdr:colOff>
      <xdr:row>31</xdr:row>
      <xdr:rowOff>164880</xdr:rowOff>
    </xdr:to>
    <xdr:graphicFrame>
      <xdr:nvGraphicFramePr>
        <xdr:cNvPr id="4" name="Gráfico 4"/>
        <xdr:cNvGraphicFramePr/>
      </xdr:nvGraphicFramePr>
      <xdr:xfrm>
        <a:off x="5176440" y="3076560"/>
        <a:ext cx="388224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7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F21" activeCellId="0" sqref="F21"/>
    </sheetView>
  </sheetViews>
  <sheetFormatPr defaultColWidth="10.73046875" defaultRowHeight="14.25" customHeight="false" zeroHeight="false" outlineLevelRow="0" outlineLevelCol="0"/>
  <cols>
    <col collapsed="false" customWidth="true" hidden="false" outlineLevel="0" max="6" min="6" style="0" width="12"/>
    <col collapsed="false" customWidth="true" hidden="false" outlineLevel="0" max="8" min="8" style="0" width="12"/>
    <col collapsed="false" customWidth="true" hidden="false" outlineLevel="0" max="10" min="10" style="0" width="12"/>
    <col collapsed="false" customWidth="true" hidden="false" outlineLevel="0" max="12" min="12" style="0" width="12"/>
    <col collapsed="false" customWidth="true" hidden="false" outlineLevel="0" max="14" min="14" style="0" width="12"/>
    <col collapsed="false" customWidth="true" hidden="false" outlineLevel="0" max="16" min="16" style="0" width="12"/>
    <col collapsed="false" customWidth="true" hidden="false" outlineLevel="0" max="18" min="18" style="0" width="12"/>
    <col collapsed="false" customWidth="true" hidden="false" outlineLevel="0" max="20" min="20" style="0" width="12"/>
  </cols>
  <sheetData>
    <row r="1" customFormat="false" ht="14.2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3" t="n">
        <v>46247</v>
      </c>
      <c r="F1" s="3"/>
      <c r="G1" s="3" t="n">
        <v>46248</v>
      </c>
      <c r="H1" s="3"/>
      <c r="I1" s="3" t="n">
        <v>46249</v>
      </c>
      <c r="J1" s="3"/>
      <c r="K1" s="3" t="n">
        <v>46250</v>
      </c>
      <c r="L1" s="3"/>
      <c r="M1" s="3" t="n">
        <v>46251</v>
      </c>
      <c r="N1" s="3"/>
      <c r="O1" s="3" t="n">
        <v>46252</v>
      </c>
      <c r="P1" s="3"/>
      <c r="Q1" s="3" t="n">
        <v>46253</v>
      </c>
      <c r="R1" s="3"/>
      <c r="S1" s="3" t="n">
        <v>46254</v>
      </c>
      <c r="T1" s="3"/>
    </row>
    <row r="2" customFormat="false" ht="14.25" hidden="false" customHeight="false" outlineLevel="0" collapsed="false">
      <c r="A2" s="1"/>
      <c r="B2" s="1"/>
      <c r="C2" s="2"/>
      <c r="D2" s="1"/>
      <c r="E2" s="1" t="s">
        <v>1</v>
      </c>
      <c r="F2" s="4" t="s">
        <v>2</v>
      </c>
      <c r="G2" s="1" t="s">
        <v>1</v>
      </c>
      <c r="H2" s="4" t="s">
        <v>2</v>
      </c>
      <c r="I2" s="1" t="s">
        <v>1</v>
      </c>
      <c r="J2" s="4" t="s">
        <v>2</v>
      </c>
      <c r="K2" s="1" t="s">
        <v>1</v>
      </c>
      <c r="L2" s="4" t="s">
        <v>2</v>
      </c>
      <c r="M2" s="1" t="s">
        <v>1</v>
      </c>
      <c r="N2" s="4" t="s">
        <v>2</v>
      </c>
      <c r="O2" s="1" t="s">
        <v>1</v>
      </c>
      <c r="P2" s="4" t="s">
        <v>2</v>
      </c>
      <c r="Q2" s="1" t="s">
        <v>1</v>
      </c>
      <c r="R2" s="4" t="s">
        <v>2</v>
      </c>
      <c r="S2" s="1" t="s">
        <v>1</v>
      </c>
      <c r="T2" s="4" t="s">
        <v>2</v>
      </c>
    </row>
    <row r="3" customFormat="false" ht="14.25" hidden="false" customHeight="false" outlineLevel="0" collapsed="false">
      <c r="A3" s="5" t="n">
        <v>1</v>
      </c>
      <c r="B3" s="5" t="s">
        <v>4</v>
      </c>
      <c r="C3" s="5" t="n">
        <v>12</v>
      </c>
      <c r="D3" s="5" t="n">
        <v>28</v>
      </c>
      <c r="E3" s="5" t="s">
        <v>4</v>
      </c>
      <c r="F3" s="5" t="n">
        <v>13.2</v>
      </c>
      <c r="G3" s="5" t="s">
        <v>4</v>
      </c>
      <c r="H3" s="5" t="n">
        <v>13.7</v>
      </c>
      <c r="I3" s="5" t="str">
        <f aca="false">IF(J3&gt;15.9,"DG","G")</f>
        <v>G</v>
      </c>
      <c r="J3" s="6" t="n">
        <v>15.7</v>
      </c>
      <c r="K3" s="5" t="str">
        <f aca="false">IF(L3&gt;15.9,"DG","G")</f>
        <v>DG</v>
      </c>
      <c r="L3" s="7" t="n">
        <v>16.6</v>
      </c>
      <c r="M3" s="5" t="str">
        <f aca="false">IF(N3&gt;15.9,"DG","G")</f>
        <v>DG</v>
      </c>
      <c r="N3" s="5" t="n">
        <v>17.1</v>
      </c>
      <c r="O3" s="5" t="str">
        <f aca="false">IF(P3&gt;15.9,"DG","G")</f>
        <v>DG</v>
      </c>
      <c r="P3" s="5" t="n">
        <v>17.29</v>
      </c>
      <c r="Q3" s="8" t="s">
        <v>5</v>
      </c>
      <c r="R3" s="8"/>
      <c r="S3" s="8" t="s">
        <v>6</v>
      </c>
      <c r="T3" s="8"/>
    </row>
    <row r="4" customFormat="false" ht="14.25" hidden="false" customHeight="false" outlineLevel="0" collapsed="false">
      <c r="A4" s="5" t="n">
        <v>2</v>
      </c>
      <c r="B4" s="5" t="s">
        <v>4</v>
      </c>
      <c r="C4" s="5" t="n">
        <v>12</v>
      </c>
      <c r="D4" s="5" t="n">
        <v>28</v>
      </c>
      <c r="E4" s="5" t="s">
        <v>4</v>
      </c>
      <c r="F4" s="5" t="n">
        <v>14.2</v>
      </c>
      <c r="G4" s="5" t="s">
        <v>4</v>
      </c>
      <c r="H4" s="5" t="n">
        <v>14.2</v>
      </c>
      <c r="I4" s="5" t="str">
        <f aca="false">IF(J4&gt;15.9,"DG","G")</f>
        <v>G</v>
      </c>
      <c r="J4" s="6" t="n">
        <v>14.34</v>
      </c>
      <c r="K4" s="5" t="str">
        <f aca="false">IF(L4&gt;15.9,"DG","G")</f>
        <v>G</v>
      </c>
      <c r="L4" s="7" t="n">
        <v>14.4</v>
      </c>
      <c r="M4" s="5" t="str">
        <f aca="false">IF(N4&gt;15.9,"DG","G")</f>
        <v>G</v>
      </c>
      <c r="N4" s="5" t="n">
        <v>14.9</v>
      </c>
      <c r="O4" s="5" t="str">
        <f aca="false">IF(P4&gt;15.9,"DG","G")</f>
        <v>G</v>
      </c>
      <c r="P4" s="5" t="n">
        <v>15.21</v>
      </c>
      <c r="Q4" s="8" t="s">
        <v>6</v>
      </c>
      <c r="R4" s="8"/>
      <c r="S4" s="8" t="s">
        <v>6</v>
      </c>
      <c r="T4" s="8"/>
    </row>
    <row r="5" customFormat="false" ht="14.25" hidden="false" customHeight="false" outlineLevel="0" collapsed="false">
      <c r="A5" s="5" t="n">
        <v>3</v>
      </c>
      <c r="B5" s="5" t="s">
        <v>4</v>
      </c>
      <c r="C5" s="5" t="n">
        <v>12</v>
      </c>
      <c r="D5" s="5" t="n">
        <v>28</v>
      </c>
      <c r="E5" s="5" t="s">
        <v>4</v>
      </c>
      <c r="F5" s="5" t="n">
        <v>13</v>
      </c>
      <c r="G5" s="5" t="s">
        <v>4</v>
      </c>
      <c r="H5" s="5" t="n">
        <v>13.5</v>
      </c>
      <c r="I5" s="5" t="str">
        <f aca="false">IF(J5&gt;15.9,"DG","G")</f>
        <v>G</v>
      </c>
      <c r="J5" s="6" t="n">
        <v>15.22</v>
      </c>
      <c r="K5" s="5" t="str">
        <f aca="false">IF(L5&gt;15.9,"DG","G")</f>
        <v>G</v>
      </c>
      <c r="L5" s="7" t="n">
        <v>15.7</v>
      </c>
      <c r="M5" s="5" t="str">
        <f aca="false">IF(N5&gt;15.9,"DG","G")</f>
        <v>DG</v>
      </c>
      <c r="N5" s="5" t="n">
        <v>16.1</v>
      </c>
      <c r="O5" s="5" t="str">
        <f aca="false">IF(P5&gt;15.9,"DG","G")</f>
        <v>DG</v>
      </c>
      <c r="P5" s="9" t="n">
        <v>16.62</v>
      </c>
      <c r="Q5" s="5" t="str">
        <f aca="false">IF(R5&gt;15.9,"DG","Garbanzo")</f>
        <v>DG</v>
      </c>
      <c r="R5" s="5" t="n">
        <v>18.1</v>
      </c>
      <c r="S5" s="8" t="s">
        <v>5</v>
      </c>
      <c r="T5" s="8"/>
    </row>
    <row r="6" customFormat="false" ht="14.25" hidden="false" customHeight="false" outlineLevel="0" collapsed="false">
      <c r="A6" s="5" t="n">
        <v>4</v>
      </c>
      <c r="B6" s="5" t="s">
        <v>4</v>
      </c>
      <c r="C6" s="5" t="n">
        <v>12</v>
      </c>
      <c r="D6" s="5" t="n">
        <v>28</v>
      </c>
      <c r="E6" s="5" t="s">
        <v>4</v>
      </c>
      <c r="F6" s="5" t="n">
        <v>13.2</v>
      </c>
      <c r="G6" s="5" t="s">
        <v>4</v>
      </c>
      <c r="H6" s="5" t="n">
        <v>13.2</v>
      </c>
      <c r="I6" s="5" t="str">
        <f aca="false">IF(J6&gt;15.9,"DG","G")</f>
        <v>G</v>
      </c>
      <c r="J6" s="6" t="n">
        <v>14.18</v>
      </c>
      <c r="K6" s="5" t="str">
        <f aca="false">IF(L6&gt;15.9,"DG","G")</f>
        <v>G</v>
      </c>
      <c r="L6" s="7" t="n">
        <v>14.7</v>
      </c>
      <c r="M6" s="5" t="str">
        <f aca="false">IF(N6&gt;15.9,"DG","G")</f>
        <v>G</v>
      </c>
      <c r="N6" s="5" t="n">
        <v>14.9</v>
      </c>
      <c r="O6" s="5" t="str">
        <f aca="false">IF(P6&gt;15.9,"DG","G")</f>
        <v>G</v>
      </c>
      <c r="P6" s="9" t="n">
        <v>15.21</v>
      </c>
      <c r="Q6" s="5" t="str">
        <f aca="false">IF(R6&gt;15.9,"DG","Garbanzo")</f>
        <v>DG</v>
      </c>
      <c r="R6" s="5" t="n">
        <v>17.9</v>
      </c>
      <c r="S6" s="8" t="s">
        <v>5</v>
      </c>
      <c r="T6" s="8"/>
    </row>
    <row r="7" customFormat="false" ht="14.25" hidden="false" customHeight="false" outlineLevel="0" collapsed="false">
      <c r="A7" s="5" t="n">
        <v>5</v>
      </c>
      <c r="B7" s="5" t="s">
        <v>4</v>
      </c>
      <c r="C7" s="5" t="n">
        <v>12</v>
      </c>
      <c r="D7" s="5" t="n">
        <v>28</v>
      </c>
      <c r="E7" s="5" t="s">
        <v>4</v>
      </c>
      <c r="F7" s="5" t="n">
        <v>13.5</v>
      </c>
      <c r="G7" s="5" t="s">
        <v>4</v>
      </c>
      <c r="H7" s="5" t="n">
        <v>13.8</v>
      </c>
      <c r="I7" s="5" t="str">
        <f aca="false">IF(J7&gt;15.9,"DG","G")</f>
        <v>G</v>
      </c>
      <c r="J7" s="6" t="n">
        <v>15.59</v>
      </c>
      <c r="K7" s="8" t="s">
        <v>5</v>
      </c>
      <c r="L7" s="10" t="n">
        <v>16.5</v>
      </c>
      <c r="M7" s="8" t="s">
        <v>6</v>
      </c>
      <c r="N7" s="8" t="n">
        <v>17.1</v>
      </c>
      <c r="O7" s="8" t="s">
        <v>6</v>
      </c>
      <c r="P7" s="11"/>
      <c r="Q7" s="8" t="s">
        <v>7</v>
      </c>
      <c r="R7" s="8"/>
      <c r="S7" s="8" t="s">
        <v>8</v>
      </c>
      <c r="T7" s="8"/>
    </row>
    <row r="8" customFormat="false" ht="14.25" hidden="false" customHeight="false" outlineLevel="0" collapsed="false">
      <c r="A8" s="5" t="n">
        <v>6</v>
      </c>
      <c r="B8" s="5" t="s">
        <v>4</v>
      </c>
      <c r="C8" s="5" t="n">
        <v>12</v>
      </c>
      <c r="D8" s="5" t="n">
        <v>43</v>
      </c>
      <c r="E8" s="5" t="s">
        <v>4</v>
      </c>
      <c r="F8" s="5" t="n">
        <v>13</v>
      </c>
      <c r="G8" s="5" t="s">
        <v>4</v>
      </c>
      <c r="H8" s="5" t="n">
        <v>13.9</v>
      </c>
      <c r="I8" s="5" t="str">
        <f aca="false">IF(J8&gt;15.9,"DG","G")</f>
        <v>G</v>
      </c>
      <c r="J8" s="6" t="n">
        <v>15.37</v>
      </c>
      <c r="K8" s="5" t="str">
        <f aca="false">IF(L8&gt;15.9,"DG","G")</f>
        <v>G</v>
      </c>
      <c r="L8" s="7" t="n">
        <v>15.9</v>
      </c>
      <c r="M8" s="5" t="str">
        <f aca="false">IF(N8&gt;15.9,"DG","G")</f>
        <v>DG</v>
      </c>
      <c r="N8" s="5" t="n">
        <v>16.1</v>
      </c>
      <c r="O8" s="5" t="str">
        <f aca="false">IF(P8&gt;15.9,"DG","G")</f>
        <v>DG</v>
      </c>
      <c r="P8" s="9" t="n">
        <v>16.55</v>
      </c>
      <c r="Q8" s="5" t="str">
        <f aca="false">IF(R8&gt;15.9,"DG","Garbanzo")</f>
        <v>DG</v>
      </c>
      <c r="R8" s="5" t="n">
        <v>18.3</v>
      </c>
      <c r="S8" s="8" t="s">
        <v>5</v>
      </c>
      <c r="T8" s="8"/>
    </row>
    <row r="9" customFormat="false" ht="14.25" hidden="false" customHeight="false" outlineLevel="0" collapsed="false">
      <c r="A9" s="5" t="n">
        <v>7</v>
      </c>
      <c r="B9" s="5" t="s">
        <v>4</v>
      </c>
      <c r="C9" s="5" t="n">
        <v>12</v>
      </c>
      <c r="D9" s="5" t="n">
        <v>43</v>
      </c>
      <c r="E9" s="5" t="s">
        <v>4</v>
      </c>
      <c r="F9" s="5" t="n">
        <v>13</v>
      </c>
      <c r="G9" s="5" t="s">
        <v>4</v>
      </c>
      <c r="H9" s="5" t="n">
        <v>14.7</v>
      </c>
      <c r="I9" s="5" t="str">
        <f aca="false">IF(J9&gt;15.9,"DG","G")</f>
        <v>G</v>
      </c>
      <c r="J9" s="6" t="n">
        <v>15.52</v>
      </c>
      <c r="K9" s="5" t="str">
        <f aca="false">IF(L9&gt;15.9,"DG","G")</f>
        <v>DG</v>
      </c>
      <c r="L9" s="7" t="n">
        <v>16.4</v>
      </c>
      <c r="M9" s="5" t="str">
        <f aca="false">IF(N9&gt;15.9,"DG","G")</f>
        <v>DG</v>
      </c>
      <c r="N9" s="5" t="n">
        <v>16.9</v>
      </c>
      <c r="O9" s="5" t="str">
        <f aca="false">IF(P9&gt;15.9,"DG","G")</f>
        <v>DG</v>
      </c>
      <c r="P9" s="9" t="n">
        <v>17.29</v>
      </c>
      <c r="Q9" s="8" t="s">
        <v>7</v>
      </c>
      <c r="R9" s="8"/>
      <c r="S9" s="8" t="s">
        <v>7</v>
      </c>
      <c r="T9" s="8"/>
    </row>
    <row r="10" customFormat="false" ht="14.25" hidden="false" customHeight="false" outlineLevel="0" collapsed="false">
      <c r="A10" s="5" t="n">
        <v>8</v>
      </c>
      <c r="B10" s="5" t="s">
        <v>4</v>
      </c>
      <c r="C10" s="5" t="n">
        <v>12</v>
      </c>
      <c r="D10" s="5" t="n">
        <v>70</v>
      </c>
      <c r="E10" s="5" t="s">
        <v>4</v>
      </c>
      <c r="F10" s="5" t="n">
        <v>13.5</v>
      </c>
      <c r="G10" s="5" t="s">
        <v>4</v>
      </c>
      <c r="H10" s="5" t="n">
        <v>13.6</v>
      </c>
      <c r="I10" s="5" t="str">
        <f aca="false">IF(J10&gt;15.9,"DG","G")</f>
        <v>G</v>
      </c>
      <c r="J10" s="6" t="n">
        <v>15.09</v>
      </c>
      <c r="K10" s="5" t="str">
        <f aca="false">IF(L10&gt;15.9,"DG","G")</f>
        <v>G</v>
      </c>
      <c r="L10" s="7" t="n">
        <v>15.6</v>
      </c>
      <c r="M10" s="5" t="s">
        <v>9</v>
      </c>
      <c r="N10" s="6" t="n">
        <v>15.9</v>
      </c>
      <c r="O10" s="5" t="str">
        <f aca="false">IF(P10&gt;15.9,"DG","G")</f>
        <v>DG</v>
      </c>
      <c r="P10" s="9" t="n">
        <v>16.36</v>
      </c>
      <c r="Q10" s="5" t="str">
        <f aca="false">IF(R10&gt;15.9,"DG","Garbanzo")</f>
        <v>DG</v>
      </c>
      <c r="R10" s="5" t="n">
        <v>17.7</v>
      </c>
      <c r="S10" s="8" t="s">
        <v>6</v>
      </c>
      <c r="T10" s="8"/>
    </row>
    <row r="11" customFormat="false" ht="14.25" hidden="false" customHeight="false" outlineLevel="0" collapsed="false">
      <c r="A11" s="5" t="n">
        <v>9</v>
      </c>
      <c r="B11" s="5" t="s">
        <v>4</v>
      </c>
      <c r="C11" s="5" t="n">
        <v>12</v>
      </c>
      <c r="D11" s="5" t="n">
        <v>70</v>
      </c>
      <c r="E11" s="5" t="s">
        <v>4</v>
      </c>
      <c r="F11" s="5" t="n">
        <v>14.5</v>
      </c>
      <c r="G11" s="5" t="s">
        <v>4</v>
      </c>
      <c r="H11" s="5" t="n">
        <v>14.5</v>
      </c>
      <c r="I11" s="5" t="str">
        <f aca="false">IF(J11&gt;15.9,"DG","G")</f>
        <v>DG</v>
      </c>
      <c r="J11" s="6" t="n">
        <v>16.81</v>
      </c>
      <c r="K11" s="5" t="str">
        <f aca="false">IF(L11&gt;15.9,"DG","G")</f>
        <v>DG</v>
      </c>
      <c r="L11" s="7" t="n">
        <v>16.8</v>
      </c>
      <c r="M11" s="5" t="str">
        <f aca="false">IF(N11&gt;15.9,"DG","G")</f>
        <v>DG</v>
      </c>
      <c r="N11" s="5" t="n">
        <v>17.1</v>
      </c>
      <c r="O11" s="5" t="str">
        <f aca="false">IF(P11&gt;15.9,"DG","G")</f>
        <v>DG</v>
      </c>
      <c r="P11" s="9" t="n">
        <v>18.2</v>
      </c>
      <c r="Q11" s="8" t="s">
        <v>5</v>
      </c>
      <c r="R11" s="8"/>
      <c r="S11" s="8" t="s">
        <v>6</v>
      </c>
      <c r="T11" s="8"/>
    </row>
    <row r="12" customFormat="false" ht="14.25" hidden="false" customHeight="false" outlineLevel="0" collapsed="false">
      <c r="A12" s="5" t="n">
        <v>10</v>
      </c>
      <c r="B12" s="5" t="s">
        <v>4</v>
      </c>
      <c r="C12" s="5" t="n">
        <v>12</v>
      </c>
      <c r="D12" s="5" t="n">
        <v>70</v>
      </c>
      <c r="E12" s="5" t="s">
        <v>4</v>
      </c>
      <c r="F12" s="5" t="n">
        <v>14.2</v>
      </c>
      <c r="G12" s="5" t="s">
        <v>4</v>
      </c>
      <c r="H12" s="5" t="n">
        <v>14.7</v>
      </c>
      <c r="I12" s="5" t="str">
        <f aca="false">IF(J12&gt;15.9,"DG","G")</f>
        <v>DG</v>
      </c>
      <c r="J12" s="6" t="n">
        <v>16</v>
      </c>
      <c r="K12" s="5" t="str">
        <f aca="false">IF(L12&gt;15.9,"DG","G")</f>
        <v>DG</v>
      </c>
      <c r="L12" s="7" t="n">
        <v>17.1</v>
      </c>
      <c r="M12" s="5" t="str">
        <f aca="false">IF(N12&gt;15.9,"DG","G")</f>
        <v>DG</v>
      </c>
      <c r="N12" s="5" t="n">
        <v>17.6</v>
      </c>
      <c r="O12" s="5" t="str">
        <f aca="false">IF(P12&gt;15.9,"DG","G")</f>
        <v>DG</v>
      </c>
      <c r="P12" s="9" t="n">
        <v>18.34</v>
      </c>
      <c r="Q12" s="8" t="s">
        <v>6</v>
      </c>
      <c r="R12" s="8"/>
      <c r="S12" s="8" t="s">
        <v>6</v>
      </c>
      <c r="T12" s="8"/>
    </row>
    <row r="13" customFormat="false" ht="14.25" hidden="false" customHeight="false" outlineLevel="0" collapsed="false">
      <c r="A13" s="5" t="n">
        <v>11</v>
      </c>
      <c r="B13" s="5" t="s">
        <v>4</v>
      </c>
      <c r="C13" s="5" t="n">
        <v>12</v>
      </c>
      <c r="D13" s="5" t="n">
        <v>70</v>
      </c>
      <c r="E13" s="5" t="s">
        <v>4</v>
      </c>
      <c r="F13" s="5" t="n">
        <v>12.5</v>
      </c>
      <c r="G13" s="5" t="s">
        <v>4</v>
      </c>
      <c r="H13" s="5" t="n">
        <v>13.2</v>
      </c>
      <c r="I13" s="5" t="str">
        <f aca="false">IF(J13&gt;15.9,"DG","G")</f>
        <v>G</v>
      </c>
      <c r="J13" s="6" t="n">
        <v>14</v>
      </c>
      <c r="K13" s="5" t="str">
        <f aca="false">IF(L13&gt;15.9,"DG","G")</f>
        <v>G</v>
      </c>
      <c r="L13" s="7" t="n">
        <v>15</v>
      </c>
      <c r="M13" s="5" t="str">
        <f aca="false">IF(N13&gt;15.9,"DG","G")</f>
        <v>DG</v>
      </c>
      <c r="N13" s="5" t="n">
        <v>16.1</v>
      </c>
      <c r="O13" s="5" t="str">
        <f aca="false">IF(P13&gt;15.9,"DG","G")</f>
        <v>DG</v>
      </c>
      <c r="P13" s="9" t="n">
        <v>16.8</v>
      </c>
      <c r="Q13" s="5" t="str">
        <f aca="false">IF(R13&gt;15.9,"DG","Garbanzo")</f>
        <v>DG</v>
      </c>
      <c r="R13" s="5" t="n">
        <v>17.4</v>
      </c>
      <c r="S13" s="8" t="s">
        <v>5</v>
      </c>
      <c r="T13" s="8"/>
    </row>
    <row r="14" customFormat="false" ht="14.25" hidden="false" customHeight="false" outlineLevel="0" collapsed="false">
      <c r="A14" s="5" t="n">
        <v>12</v>
      </c>
      <c r="B14" s="5" t="s">
        <v>4</v>
      </c>
      <c r="C14" s="5" t="n">
        <v>12</v>
      </c>
      <c r="D14" s="5" t="n">
        <v>85</v>
      </c>
      <c r="E14" s="5" t="s">
        <v>4</v>
      </c>
      <c r="F14" s="5" t="n">
        <v>13.5</v>
      </c>
      <c r="G14" s="5" t="s">
        <v>4</v>
      </c>
      <c r="H14" s="5" t="n">
        <v>14.7</v>
      </c>
      <c r="I14" s="5" t="str">
        <f aca="false">IF(J14&gt;15.9,"DG","G")</f>
        <v>DG</v>
      </c>
      <c r="J14" s="6" t="n">
        <v>16.02</v>
      </c>
      <c r="K14" s="5" t="str">
        <f aca="false">IF(L14&gt;15.9,"DG","G")</f>
        <v>DG</v>
      </c>
      <c r="L14" s="7" t="n">
        <v>16.3</v>
      </c>
      <c r="M14" s="5" t="str">
        <f aca="false">IF(N14&gt;15.9,"DG","G")</f>
        <v>DG</v>
      </c>
      <c r="N14" s="5" t="n">
        <v>16.9</v>
      </c>
      <c r="O14" s="5" t="str">
        <f aca="false">IF(P14&gt;15.9,"DG","G")</f>
        <v>DG</v>
      </c>
      <c r="P14" s="9" t="n">
        <v>17.53</v>
      </c>
      <c r="Q14" s="8" t="s">
        <v>6</v>
      </c>
      <c r="R14" s="8"/>
      <c r="S14" s="8" t="s">
        <v>7</v>
      </c>
      <c r="T14" s="8"/>
    </row>
    <row r="15" customFormat="false" ht="14.25" hidden="false" customHeight="false" outlineLevel="0" collapsed="false">
      <c r="A15" s="5" t="n">
        <v>13</v>
      </c>
      <c r="B15" s="5" t="s">
        <v>4</v>
      </c>
      <c r="C15" s="5" t="n">
        <v>12</v>
      </c>
      <c r="D15" s="5" t="n">
        <v>85</v>
      </c>
      <c r="E15" s="5" t="s">
        <v>4</v>
      </c>
      <c r="F15" s="5" t="n">
        <v>14</v>
      </c>
      <c r="G15" s="5" t="s">
        <v>4</v>
      </c>
      <c r="H15" s="5" t="n">
        <v>14.4</v>
      </c>
      <c r="I15" s="5" t="str">
        <f aca="false">IF(J15&gt;15.9,"DG","G")</f>
        <v>G</v>
      </c>
      <c r="J15" s="6" t="n">
        <v>14.89</v>
      </c>
      <c r="K15" s="5" t="str">
        <f aca="false">IF(L15&gt;15.9,"DG","G")</f>
        <v>DG</v>
      </c>
      <c r="L15" s="7" t="n">
        <v>16.8</v>
      </c>
      <c r="M15" s="5" t="str">
        <f aca="false">IF(N15&gt;15.9,"DG","G")</f>
        <v>DG</v>
      </c>
      <c r="N15" s="5" t="n">
        <v>17.1</v>
      </c>
      <c r="O15" s="5" t="str">
        <f aca="false">IF(P15&gt;15.9,"DG","G")</f>
        <v>DG</v>
      </c>
      <c r="P15" s="9" t="n">
        <v>17.08</v>
      </c>
      <c r="Q15" s="8" t="s">
        <v>5</v>
      </c>
      <c r="R15" s="8"/>
      <c r="S15" s="8" t="s">
        <v>5</v>
      </c>
      <c r="T15" s="8"/>
    </row>
    <row r="16" customFormat="false" ht="14.25" hidden="false" customHeight="false" outlineLevel="0" collapsed="false">
      <c r="A16" s="5" t="n">
        <v>14</v>
      </c>
      <c r="B16" s="5" t="s">
        <v>4</v>
      </c>
      <c r="C16" s="5" t="n">
        <v>12</v>
      </c>
      <c r="D16" s="5" t="n">
        <v>85</v>
      </c>
      <c r="E16" s="5" t="s">
        <v>4</v>
      </c>
      <c r="F16" s="5" t="n">
        <v>13.7</v>
      </c>
      <c r="G16" s="5" t="s">
        <v>4</v>
      </c>
      <c r="H16" s="5" t="n">
        <v>14.4</v>
      </c>
      <c r="I16" s="5" t="str">
        <f aca="false">IF(J16&gt;15.9,"DG","G")</f>
        <v>G</v>
      </c>
      <c r="J16" s="6" t="n">
        <v>15.79</v>
      </c>
      <c r="K16" s="5" t="str">
        <f aca="false">IF(L16&gt;15.9,"DG","G")</f>
        <v>DG</v>
      </c>
      <c r="L16" s="7" t="n">
        <v>16.1</v>
      </c>
      <c r="M16" s="5" t="str">
        <f aca="false">IF(N16&gt;15.9,"DG","G")</f>
        <v>DG</v>
      </c>
      <c r="N16" s="5" t="n">
        <v>16.8</v>
      </c>
      <c r="O16" s="5" t="str">
        <f aca="false">IF(P16&gt;15.9,"DG","G")</f>
        <v>DG</v>
      </c>
      <c r="P16" s="9" t="n">
        <v>17.23</v>
      </c>
      <c r="Q16" s="8" t="s">
        <v>5</v>
      </c>
      <c r="R16" s="8"/>
      <c r="S16" s="8" t="s">
        <v>6</v>
      </c>
      <c r="T16" s="8"/>
    </row>
    <row r="17" customFormat="false" ht="14.25" hidden="false" customHeight="false" outlineLevel="0" collapsed="false">
      <c r="A17" s="5" t="n">
        <v>15</v>
      </c>
      <c r="B17" s="5" t="s">
        <v>4</v>
      </c>
      <c r="C17" s="5" t="n">
        <v>12</v>
      </c>
      <c r="D17" s="5" t="n">
        <v>85</v>
      </c>
      <c r="E17" s="5" t="s">
        <v>4</v>
      </c>
      <c r="F17" s="5" t="n">
        <v>14</v>
      </c>
      <c r="G17" s="5" t="s">
        <v>4</v>
      </c>
      <c r="H17" s="5" t="n">
        <v>14.2</v>
      </c>
      <c r="I17" s="5" t="str">
        <f aca="false">IF(J17&gt;15.9,"DG","G")</f>
        <v>G</v>
      </c>
      <c r="J17" s="6" t="n">
        <v>15.78</v>
      </c>
      <c r="K17" s="5" t="str">
        <f aca="false">IF(L17&gt;15.9,"DG","G")</f>
        <v>DG</v>
      </c>
      <c r="L17" s="7" t="n">
        <v>16</v>
      </c>
      <c r="M17" s="5" t="str">
        <f aca="false">IF(N17&gt;15.9,"DG","G")</f>
        <v>DG</v>
      </c>
      <c r="N17" s="5" t="n">
        <v>16.3</v>
      </c>
      <c r="O17" s="5" t="str">
        <f aca="false">IF(P17&gt;15.9,"DG","G")</f>
        <v>DG</v>
      </c>
      <c r="P17" s="9" t="n">
        <v>17.05</v>
      </c>
      <c r="Q17" s="8" t="s">
        <v>5</v>
      </c>
      <c r="R17" s="8"/>
      <c r="S17" s="8" t="s">
        <v>5</v>
      </c>
      <c r="T17" s="8"/>
    </row>
    <row r="18" customFormat="false" ht="14.25" hidden="false" customHeight="false" outlineLevel="0" collapsed="false">
      <c r="A18" s="5" t="n">
        <v>16</v>
      </c>
      <c r="B18" s="5" t="s">
        <v>4</v>
      </c>
      <c r="C18" s="5" t="n">
        <v>12</v>
      </c>
      <c r="D18" s="5" t="n">
        <v>85</v>
      </c>
      <c r="E18" s="5" t="s">
        <v>4</v>
      </c>
      <c r="F18" s="5" t="n">
        <v>14.6</v>
      </c>
      <c r="G18" s="12" t="s">
        <v>10</v>
      </c>
      <c r="H18" s="13" t="s">
        <v>10</v>
      </c>
      <c r="I18" s="12" t="s">
        <v>10</v>
      </c>
      <c r="J18" s="12" t="s">
        <v>10</v>
      </c>
      <c r="K18" s="12" t="s">
        <v>10</v>
      </c>
      <c r="L18" s="12" t="s">
        <v>10</v>
      </c>
      <c r="M18" s="13" t="s">
        <v>10</v>
      </c>
      <c r="N18" s="12" t="s">
        <v>10</v>
      </c>
      <c r="O18" s="12" t="s">
        <v>10</v>
      </c>
      <c r="P18" s="12" t="s">
        <v>10</v>
      </c>
      <c r="Q18" s="12" t="s">
        <v>10</v>
      </c>
      <c r="R18" s="12" t="s">
        <v>10</v>
      </c>
      <c r="S18" s="12" t="s">
        <v>10</v>
      </c>
      <c r="T18" s="12" t="s">
        <v>10</v>
      </c>
    </row>
    <row r="19" customFormat="false" ht="14.25" hidden="false" customHeight="false" outlineLevel="0" collapsed="false">
      <c r="A19" s="5" t="n">
        <v>17</v>
      </c>
      <c r="B19" s="5" t="s">
        <v>4</v>
      </c>
      <c r="C19" s="5" t="n">
        <v>12</v>
      </c>
      <c r="D19" s="5" t="n">
        <v>92</v>
      </c>
      <c r="E19" s="5" t="s">
        <v>4</v>
      </c>
      <c r="F19" s="5" t="n">
        <v>13.5</v>
      </c>
      <c r="G19" s="5" t="s">
        <v>4</v>
      </c>
      <c r="H19" s="5" t="n">
        <v>14.6</v>
      </c>
      <c r="I19" s="5" t="str">
        <f aca="false">IF(J19&gt;15.9,"DG","G")</f>
        <v>G</v>
      </c>
      <c r="J19" s="6" t="n">
        <v>15.68</v>
      </c>
      <c r="K19" s="5" t="str">
        <f aca="false">IF(L19&gt;15.9,"DG","G")</f>
        <v>G</v>
      </c>
      <c r="L19" s="7" t="n">
        <v>15.9</v>
      </c>
      <c r="M19" s="5" t="str">
        <f aca="false">IF(N19&gt;15.9,"DG","G")</f>
        <v>DG</v>
      </c>
      <c r="N19" s="5" t="n">
        <v>16.3</v>
      </c>
      <c r="O19" s="8" t="s">
        <v>5</v>
      </c>
      <c r="P19" s="11"/>
      <c r="Q19" s="8" t="s">
        <v>5</v>
      </c>
      <c r="R19" s="8"/>
      <c r="S19" s="8" t="s">
        <v>5</v>
      </c>
      <c r="T19" s="8"/>
    </row>
    <row r="20" customFormat="false" ht="14.25" hidden="false" customHeight="false" outlineLevel="0" collapsed="false">
      <c r="A20" s="5" t="n">
        <v>18</v>
      </c>
      <c r="B20" s="5" t="s">
        <v>4</v>
      </c>
      <c r="C20" s="5" t="n">
        <v>12</v>
      </c>
      <c r="D20" s="5" t="n">
        <v>92</v>
      </c>
      <c r="E20" s="5" t="s">
        <v>4</v>
      </c>
      <c r="F20" s="5" t="n">
        <v>13.2</v>
      </c>
      <c r="G20" s="5" t="s">
        <v>4</v>
      </c>
      <c r="H20" s="5" t="n">
        <v>14.4</v>
      </c>
      <c r="I20" s="5" t="str">
        <f aca="false">IF(J20&gt;15.9,"DG","G")</f>
        <v>G</v>
      </c>
      <c r="J20" s="6" t="n">
        <v>15.62</v>
      </c>
      <c r="K20" s="5" t="str">
        <f aca="false">IF(L20&gt;15.9,"DG","G")</f>
        <v>DG</v>
      </c>
      <c r="L20" s="7" t="n">
        <v>16.4</v>
      </c>
      <c r="M20" s="5" t="str">
        <f aca="false">IF(N20&gt;15.9,"DG","G")</f>
        <v>DG</v>
      </c>
      <c r="N20" s="5" t="n">
        <v>16.9</v>
      </c>
      <c r="O20" s="5" t="str">
        <f aca="false">IF(P20&gt;15.9,"DG","G")</f>
        <v>DG</v>
      </c>
      <c r="P20" s="9" t="n">
        <v>16.7</v>
      </c>
      <c r="Q20" s="8" t="s">
        <v>5</v>
      </c>
      <c r="R20" s="8"/>
      <c r="S20" s="8" t="s">
        <v>6</v>
      </c>
      <c r="T20" s="8"/>
    </row>
    <row r="21" customFormat="false" ht="14.25" hidden="false" customHeight="false" outlineLevel="0" collapsed="false">
      <c r="A21" s="5" t="n">
        <v>19</v>
      </c>
      <c r="B21" s="5" t="s">
        <v>4</v>
      </c>
      <c r="C21" s="5" t="n">
        <v>12</v>
      </c>
      <c r="D21" s="5" t="n">
        <v>92</v>
      </c>
      <c r="E21" s="5" t="s">
        <v>4</v>
      </c>
      <c r="F21" s="5" t="n">
        <v>13.7</v>
      </c>
      <c r="G21" s="5" t="s">
        <v>4</v>
      </c>
      <c r="H21" s="5" t="n">
        <v>14.5</v>
      </c>
      <c r="I21" s="5" t="str">
        <f aca="false">IF(J21&gt;15.9,"DG","G")</f>
        <v>G</v>
      </c>
      <c r="J21" s="6" t="n">
        <v>15.55</v>
      </c>
      <c r="K21" s="5" t="str">
        <f aca="false">IF(L21&gt;15.9,"DG","G")</f>
        <v>DG</v>
      </c>
      <c r="L21" s="5" t="n">
        <v>16.8</v>
      </c>
      <c r="M21" s="5" t="str">
        <f aca="false">IF(N21&gt;15.9,"DG","G")</f>
        <v>DG</v>
      </c>
      <c r="N21" s="5" t="n">
        <v>17.1</v>
      </c>
      <c r="O21" s="5" t="str">
        <f aca="false">IF(P21&gt;15.9,"DG","G")</f>
        <v>DG</v>
      </c>
      <c r="P21" s="9" t="n">
        <v>17.81</v>
      </c>
      <c r="Q21" s="8" t="s">
        <v>5</v>
      </c>
      <c r="R21" s="8"/>
      <c r="S21" s="8" t="s">
        <v>6</v>
      </c>
      <c r="T21" s="8"/>
    </row>
    <row r="22" customFormat="false" ht="14.25" hidden="false" customHeight="false" outlineLevel="0" collapsed="false">
      <c r="A22" s="5" t="n">
        <v>20</v>
      </c>
      <c r="B22" s="5" t="s">
        <v>4</v>
      </c>
      <c r="C22" s="5" t="n">
        <v>12</v>
      </c>
      <c r="D22" s="5" t="n">
        <v>92</v>
      </c>
      <c r="E22" s="5" t="s">
        <v>4</v>
      </c>
      <c r="F22" s="5" t="n">
        <v>13</v>
      </c>
      <c r="G22" s="5" t="s">
        <v>4</v>
      </c>
      <c r="H22" s="5" t="n">
        <v>13.6</v>
      </c>
      <c r="I22" s="5" t="str">
        <f aca="false">IF(J22&gt;15.9,"DG","G")</f>
        <v>G</v>
      </c>
      <c r="J22" s="6" t="n">
        <v>14.54</v>
      </c>
      <c r="K22" s="5" t="str">
        <f aca="false">IF(L22&gt;15.9,"DG","G")</f>
        <v>G</v>
      </c>
      <c r="L22" s="5" t="n">
        <v>15.4</v>
      </c>
      <c r="M22" s="5" t="str">
        <f aca="false">IF(N22&gt;15.89,"DG","G")</f>
        <v>DG</v>
      </c>
      <c r="N22" s="5" t="n">
        <v>15.9</v>
      </c>
      <c r="O22" s="5" t="str">
        <f aca="false">IF(P22&gt;15.9,"DG","G")</f>
        <v>DG</v>
      </c>
      <c r="P22" s="9" t="n">
        <v>17.32</v>
      </c>
      <c r="Q22" s="8" t="s">
        <v>5</v>
      </c>
      <c r="R22" s="8"/>
      <c r="S22" s="8" t="s">
        <v>5</v>
      </c>
      <c r="T22" s="8"/>
    </row>
    <row r="23" customFormat="false" ht="14.25" hidden="false" customHeight="false" outlineLevel="0" collapsed="false">
      <c r="A23" s="5" t="n">
        <v>21</v>
      </c>
      <c r="B23" s="5" t="s">
        <v>4</v>
      </c>
      <c r="C23" s="5" t="n">
        <v>12</v>
      </c>
      <c r="D23" s="5" t="n">
        <v>92</v>
      </c>
      <c r="E23" s="5" t="s">
        <v>4</v>
      </c>
      <c r="F23" s="5" t="n">
        <v>13.5</v>
      </c>
      <c r="G23" s="5" t="s">
        <v>4</v>
      </c>
      <c r="H23" s="5" t="n">
        <v>14.7</v>
      </c>
      <c r="I23" s="5" t="str">
        <f aca="false">IF(J23&gt;15.9,"DG","G")</f>
        <v>DG</v>
      </c>
      <c r="J23" s="6" t="n">
        <v>15.91</v>
      </c>
      <c r="K23" s="5" t="str">
        <f aca="false">IF(L23&gt;15.9,"DG","G")</f>
        <v>DG</v>
      </c>
      <c r="L23" s="5" t="n">
        <v>16.5</v>
      </c>
      <c r="M23" s="5" t="str">
        <f aca="false">IF(N23&gt;15.89,"DG","G")</f>
        <v>DG</v>
      </c>
      <c r="N23" s="5" t="n">
        <v>16.9</v>
      </c>
      <c r="O23" s="5" t="str">
        <f aca="false">IF(P23&gt;15.9,"DG","G")</f>
        <v>DG</v>
      </c>
      <c r="P23" s="9" t="n">
        <v>17.2</v>
      </c>
      <c r="Q23" s="5" t="str">
        <f aca="false">IF(R23&gt;15.9,"DG","Garbanzo")</f>
        <v>DG</v>
      </c>
      <c r="R23" s="5" t="n">
        <v>17.6</v>
      </c>
      <c r="S23" s="8" t="s">
        <v>5</v>
      </c>
      <c r="T23" s="8"/>
    </row>
    <row r="24" customFormat="false" ht="14.25" hidden="false" customHeight="false" outlineLevel="0" collapsed="false">
      <c r="A24" s="5" t="n">
        <v>22</v>
      </c>
      <c r="B24" s="5" t="s">
        <v>4</v>
      </c>
      <c r="C24" s="5" t="n">
        <v>12</v>
      </c>
      <c r="D24" s="5" t="n">
        <v>92</v>
      </c>
      <c r="E24" s="5" t="s">
        <v>4</v>
      </c>
      <c r="F24" s="5" t="n">
        <v>13.7</v>
      </c>
      <c r="G24" s="5" t="s">
        <v>4</v>
      </c>
      <c r="H24" s="5" t="n">
        <v>14.5</v>
      </c>
      <c r="I24" s="5" t="str">
        <f aca="false">IF(J24&gt;15.9,"DG","G")</f>
        <v>G</v>
      </c>
      <c r="J24" s="6" t="n">
        <v>15.86</v>
      </c>
      <c r="K24" s="5" t="str">
        <f aca="false">IF(L24&gt;15.9,"DG","G")</f>
        <v>DG</v>
      </c>
      <c r="L24" s="5" t="n">
        <v>16.6</v>
      </c>
      <c r="M24" s="5" t="str">
        <f aca="false">IF(N24&gt;15.89,"DG","G")</f>
        <v>DG</v>
      </c>
      <c r="N24" s="5" t="n">
        <v>16.9</v>
      </c>
      <c r="O24" s="5" t="str">
        <f aca="false">IF(P24&gt;15.9,"DG","G")</f>
        <v>DG</v>
      </c>
      <c r="P24" s="9" t="n">
        <v>17.52</v>
      </c>
      <c r="Q24" s="5" t="str">
        <f aca="false">IF(R24&gt;15.9,"DG","Garbanzo")</f>
        <v>DG</v>
      </c>
      <c r="R24" s="5" t="n">
        <v>18</v>
      </c>
      <c r="S24" s="8" t="s">
        <v>5</v>
      </c>
      <c r="T24" s="8"/>
    </row>
    <row r="25" customFormat="false" ht="14.25" hidden="false" customHeight="false" outlineLevel="0" collapsed="false">
      <c r="A25" s="5" t="n">
        <v>23</v>
      </c>
      <c r="B25" s="5" t="s">
        <v>4</v>
      </c>
      <c r="C25" s="5" t="n">
        <v>12</v>
      </c>
      <c r="D25" s="5" t="n">
        <v>92</v>
      </c>
      <c r="E25" s="5" t="s">
        <v>4</v>
      </c>
      <c r="F25" s="5" t="n">
        <v>12.8</v>
      </c>
      <c r="G25" s="5" t="s">
        <v>4</v>
      </c>
      <c r="H25" s="5" t="n">
        <v>13.5</v>
      </c>
      <c r="I25" s="5" t="str">
        <f aca="false">IF(J25&gt;15.9,"DG","G")</f>
        <v>G</v>
      </c>
      <c r="J25" s="6" t="n">
        <v>14.77</v>
      </c>
      <c r="K25" s="5" t="str">
        <f aca="false">IF(L25&gt;15.9,"DG","G")</f>
        <v>DG</v>
      </c>
      <c r="L25" s="5" t="n">
        <v>16.2</v>
      </c>
      <c r="M25" s="5" t="str">
        <f aca="false">IF(N25&gt;15.89,"DG","G")</f>
        <v>DG</v>
      </c>
      <c r="N25" s="5" t="n">
        <v>16.8</v>
      </c>
      <c r="O25" s="8" t="s">
        <v>5</v>
      </c>
      <c r="P25" s="11"/>
      <c r="Q25" s="8" t="s">
        <v>6</v>
      </c>
      <c r="R25" s="8"/>
      <c r="S25" s="8" t="s">
        <v>6</v>
      </c>
      <c r="T25" s="8"/>
    </row>
    <row r="26" customFormat="false" ht="14.25" hidden="false" customHeight="false" outlineLevel="0" collapsed="false">
      <c r="A26" s="5" t="n">
        <v>24</v>
      </c>
      <c r="B26" s="5" t="s">
        <v>4</v>
      </c>
      <c r="C26" s="5" t="n">
        <v>12</v>
      </c>
      <c r="D26" s="5" t="n">
        <v>92</v>
      </c>
      <c r="E26" s="5" t="s">
        <v>4</v>
      </c>
      <c r="F26" s="5" t="n">
        <v>13.4</v>
      </c>
      <c r="G26" s="5" t="s">
        <v>4</v>
      </c>
      <c r="H26" s="5" t="n">
        <v>13.7</v>
      </c>
      <c r="I26" s="5" t="str">
        <f aca="false">IF(J26&gt;15.9,"DG","G")</f>
        <v>G</v>
      </c>
      <c r="J26" s="6" t="n">
        <v>15.49</v>
      </c>
      <c r="K26" s="5" t="str">
        <f aca="false">IF(L26&gt;15.9,"DG","G")</f>
        <v>DG</v>
      </c>
      <c r="L26" s="5" t="n">
        <v>16</v>
      </c>
      <c r="M26" s="5" t="str">
        <f aca="false">IF(N26&gt;15.89,"DG","G")</f>
        <v>DG</v>
      </c>
      <c r="N26" s="5" t="n">
        <v>16.9</v>
      </c>
      <c r="O26" s="5" t="str">
        <f aca="false">IF(P26&gt;15.9,"DG","G")</f>
        <v>DG</v>
      </c>
      <c r="P26" s="9" t="n">
        <v>16.27</v>
      </c>
      <c r="Q26" s="8" t="s">
        <v>5</v>
      </c>
      <c r="R26" s="8"/>
      <c r="S26" s="8" t="s">
        <v>5</v>
      </c>
      <c r="T26" s="8"/>
    </row>
    <row r="27" customFormat="false" ht="14.25" hidden="false" customHeight="false" outlineLevel="0" collapsed="false">
      <c r="A27" s="5" t="n">
        <v>25</v>
      </c>
      <c r="B27" s="5" t="s">
        <v>4</v>
      </c>
      <c r="C27" s="5" t="n">
        <v>12</v>
      </c>
      <c r="D27" s="5" t="n">
        <v>92</v>
      </c>
      <c r="E27" s="5" t="s">
        <v>4</v>
      </c>
      <c r="F27" s="5" t="n">
        <v>12.6</v>
      </c>
      <c r="G27" s="5" t="s">
        <v>4</v>
      </c>
      <c r="H27" s="5" t="n">
        <v>13.2</v>
      </c>
      <c r="I27" s="5" t="str">
        <f aca="false">IF(J27&gt;15.9,"DG","G")</f>
        <v>G</v>
      </c>
      <c r="J27" s="6" t="n">
        <v>14.25</v>
      </c>
      <c r="K27" s="5" t="str">
        <f aca="false">IF(L27&gt;15.9,"DG","G")</f>
        <v>G</v>
      </c>
      <c r="L27" s="5" t="n">
        <v>15</v>
      </c>
      <c r="M27" s="5" t="str">
        <f aca="false">IF(N27&gt;15.89,"DG","G")</f>
        <v>DG</v>
      </c>
      <c r="N27" s="5" t="n">
        <v>16.8</v>
      </c>
      <c r="O27" s="5" t="str">
        <f aca="false">IF(P27&gt;15.9,"DG","G")</f>
        <v>DG</v>
      </c>
      <c r="P27" s="9" t="n">
        <v>17.34</v>
      </c>
      <c r="Q27" s="5" t="str">
        <f aca="false">IF(R27&gt;15.9,"DG","Garbanzo")</f>
        <v>DG</v>
      </c>
      <c r="R27" s="5" t="n">
        <v>18.2</v>
      </c>
      <c r="S27" s="8" t="s">
        <v>5</v>
      </c>
      <c r="T27" s="8"/>
    </row>
    <row r="28" customFormat="false" ht="14.25" hidden="false" customHeight="false" outlineLevel="0" collapsed="false">
      <c r="A28" s="5" t="n">
        <v>26</v>
      </c>
      <c r="B28" s="5" t="s">
        <v>4</v>
      </c>
      <c r="C28" s="5" t="n">
        <v>12</v>
      </c>
      <c r="D28" s="5" t="n">
        <v>91</v>
      </c>
      <c r="E28" s="5" t="s">
        <v>4</v>
      </c>
      <c r="F28" s="5" t="n">
        <v>13</v>
      </c>
      <c r="G28" s="5" t="s">
        <v>4</v>
      </c>
      <c r="H28" s="5" t="n">
        <v>13.4</v>
      </c>
      <c r="I28" s="5" t="str">
        <f aca="false">IF(J28&gt;15.9,"DG","G")</f>
        <v>G</v>
      </c>
      <c r="J28" s="6" t="n">
        <v>14.27</v>
      </c>
      <c r="K28" s="5" t="str">
        <f aca="false">IF(L28&gt;15.9,"DG","G")</f>
        <v>G</v>
      </c>
      <c r="L28" s="5" t="n">
        <v>15.5</v>
      </c>
      <c r="M28" s="5" t="str">
        <f aca="false">IF(N28&gt;15.89,"DG","G")</f>
        <v>DG</v>
      </c>
      <c r="N28" s="5" t="n">
        <v>15.9</v>
      </c>
      <c r="O28" s="5" t="str">
        <f aca="false">IF(P28&gt;15.9,"DG","G")</f>
        <v>DG</v>
      </c>
      <c r="P28" s="9" t="n">
        <v>16.72</v>
      </c>
      <c r="Q28" s="5" t="str">
        <f aca="false">IF(R28&gt;15.9,"DG","Garbanzo")</f>
        <v>DG</v>
      </c>
      <c r="R28" s="5" t="n">
        <v>17.9</v>
      </c>
      <c r="S28" s="8" t="s">
        <v>5</v>
      </c>
      <c r="T28" s="8"/>
    </row>
    <row r="29" customFormat="false" ht="14.25" hidden="false" customHeight="false" outlineLevel="0" collapsed="false">
      <c r="A29" s="5" t="n">
        <v>27</v>
      </c>
      <c r="B29" s="5" t="s">
        <v>4</v>
      </c>
      <c r="C29" s="5" t="n">
        <v>12</v>
      </c>
      <c r="D29" s="5" t="n">
        <v>91</v>
      </c>
      <c r="E29" s="5" t="s">
        <v>4</v>
      </c>
      <c r="F29" s="5" t="n">
        <v>13</v>
      </c>
      <c r="G29" s="5" t="s">
        <v>4</v>
      </c>
      <c r="H29" s="5" t="n">
        <v>14.6</v>
      </c>
      <c r="I29" s="5" t="str">
        <f aca="false">IF(J29&gt;15.9,"DG","G")</f>
        <v>G</v>
      </c>
      <c r="J29" s="6" t="n">
        <v>14.75</v>
      </c>
      <c r="K29" s="5" t="str">
        <f aca="false">IF(L29&gt;15.9,"DG","G")</f>
        <v>G</v>
      </c>
      <c r="L29" s="5" t="n">
        <v>15.9</v>
      </c>
      <c r="M29" s="5" t="str">
        <f aca="false">IF(N29&gt;15.89,"DG","G")</f>
        <v>DG</v>
      </c>
      <c r="N29" s="5" t="n">
        <v>16.1</v>
      </c>
      <c r="O29" s="5" t="str">
        <f aca="false">IF(P29&gt;15.9,"DG","G")</f>
        <v>DG</v>
      </c>
      <c r="P29" s="9" t="n">
        <v>16.6</v>
      </c>
      <c r="Q29" s="8" t="s">
        <v>5</v>
      </c>
      <c r="R29" s="8"/>
      <c r="S29" s="8" t="s">
        <v>5</v>
      </c>
      <c r="T29" s="8"/>
    </row>
    <row r="30" customFormat="false" ht="14.25" hidden="false" customHeight="false" outlineLevel="0" collapsed="false">
      <c r="A30" s="5" t="n">
        <v>28</v>
      </c>
      <c r="B30" s="5" t="s">
        <v>4</v>
      </c>
      <c r="C30" s="5" t="n">
        <v>12</v>
      </c>
      <c r="D30" s="5" t="n">
        <v>91</v>
      </c>
      <c r="E30" s="5" t="s">
        <v>4</v>
      </c>
      <c r="F30" s="5" t="n">
        <v>12.3</v>
      </c>
      <c r="G30" s="5" t="s">
        <v>4</v>
      </c>
      <c r="H30" s="5" t="n">
        <v>12.7</v>
      </c>
      <c r="I30" s="5" t="str">
        <f aca="false">IF(J30&gt;15.9,"DG","G")</f>
        <v>G</v>
      </c>
      <c r="J30" s="6" t="n">
        <v>13.8</v>
      </c>
      <c r="K30" s="5" t="str">
        <f aca="false">IF(L30&gt;15.9,"DG","G")</f>
        <v>G</v>
      </c>
      <c r="L30" s="5" t="n">
        <v>14.4</v>
      </c>
      <c r="M30" s="5" t="str">
        <f aca="false">IF(N30&gt;15.89,"DG","G")</f>
        <v>G</v>
      </c>
      <c r="N30" s="5" t="n">
        <v>14.9</v>
      </c>
      <c r="O30" s="5" t="str">
        <f aca="false">IF(P30&gt;15.9,"DG","G")</f>
        <v>DG</v>
      </c>
      <c r="P30" s="9" t="n">
        <v>16.12</v>
      </c>
      <c r="Q30" s="8" t="s">
        <v>5</v>
      </c>
      <c r="R30" s="8"/>
      <c r="S30" s="8" t="s">
        <v>6</v>
      </c>
      <c r="T30" s="8"/>
    </row>
    <row r="31" customFormat="false" ht="14.25" hidden="false" customHeight="false" outlineLevel="0" collapsed="false">
      <c r="A31" s="5" t="n">
        <v>29</v>
      </c>
      <c r="B31" s="5" t="s">
        <v>4</v>
      </c>
      <c r="C31" s="5" t="n">
        <v>12</v>
      </c>
      <c r="D31" s="5" t="n">
        <v>91</v>
      </c>
      <c r="E31" s="5" t="s">
        <v>4</v>
      </c>
      <c r="F31" s="5" t="n">
        <v>12.8</v>
      </c>
      <c r="G31" s="5" t="s">
        <v>4</v>
      </c>
      <c r="H31" s="5" t="n">
        <v>13.4</v>
      </c>
      <c r="I31" s="5" t="str">
        <f aca="false">IF(J31&gt;15.9,"DG","G")</f>
        <v>G</v>
      </c>
      <c r="J31" s="6" t="n">
        <v>15.1</v>
      </c>
      <c r="K31" s="5" t="str">
        <f aca="false">IF(L31&gt;15.9,"DG","G")</f>
        <v>G</v>
      </c>
      <c r="L31" s="5" t="n">
        <v>15.3</v>
      </c>
      <c r="M31" s="5" t="str">
        <f aca="false">IF(N31&gt;15.89,"DG","G")</f>
        <v>DG</v>
      </c>
      <c r="N31" s="5" t="n">
        <v>15.9</v>
      </c>
      <c r="O31" s="8" t="s">
        <v>5</v>
      </c>
      <c r="P31" s="11"/>
      <c r="Q31" s="8" t="s">
        <v>5</v>
      </c>
      <c r="R31" s="8"/>
      <c r="S31" s="8" t="s">
        <v>6</v>
      </c>
      <c r="T31" s="8"/>
    </row>
    <row r="32" customFormat="false" ht="14.25" hidden="false" customHeight="false" outlineLevel="0" collapsed="false">
      <c r="A32" s="5" t="n">
        <v>30</v>
      </c>
      <c r="B32" s="5" t="s">
        <v>4</v>
      </c>
      <c r="C32" s="5" t="n">
        <v>12</v>
      </c>
      <c r="D32" s="5" t="n">
        <v>91</v>
      </c>
      <c r="E32" s="5" t="s">
        <v>4</v>
      </c>
      <c r="F32" s="5" t="n">
        <v>12.5</v>
      </c>
      <c r="G32" s="5" t="s">
        <v>4</v>
      </c>
      <c r="H32" s="5" t="n">
        <v>13</v>
      </c>
      <c r="I32" s="5" t="str">
        <f aca="false">IF(J32&gt;15.9,"DG","G")</f>
        <v>G</v>
      </c>
      <c r="J32" s="6" t="n">
        <v>14.21</v>
      </c>
      <c r="K32" s="5" t="str">
        <f aca="false">IF(L32&gt;15.9,"DG","G")</f>
        <v>G</v>
      </c>
      <c r="L32" s="5" t="n">
        <v>15.3</v>
      </c>
      <c r="M32" s="5" t="str">
        <f aca="false">IF(N32&gt;15.89,"DG","G")</f>
        <v>DG</v>
      </c>
      <c r="N32" s="5" t="n">
        <v>15.9</v>
      </c>
      <c r="O32" s="5" t="str">
        <f aca="false">IF(P32&gt;15.9,"DG","G")</f>
        <v>DG</v>
      </c>
      <c r="P32" s="9" t="n">
        <v>19.11</v>
      </c>
      <c r="Q32" s="8" t="s">
        <v>6</v>
      </c>
      <c r="R32" s="8"/>
      <c r="S32" s="8" t="s">
        <v>7</v>
      </c>
      <c r="T32" s="8"/>
    </row>
    <row r="33" customFormat="false" ht="14.25" hidden="false" customHeight="false" outlineLevel="0" collapsed="false">
      <c r="A33" s="5" t="n">
        <v>31</v>
      </c>
      <c r="B33" s="5" t="s">
        <v>4</v>
      </c>
      <c r="C33" s="5" t="n">
        <v>12</v>
      </c>
      <c r="D33" s="5" t="n">
        <v>93</v>
      </c>
      <c r="E33" s="5" t="s">
        <v>4</v>
      </c>
      <c r="F33" s="5" t="n">
        <v>13.6</v>
      </c>
      <c r="G33" s="5" t="s">
        <v>4</v>
      </c>
      <c r="H33" s="5" t="n">
        <v>14.4</v>
      </c>
      <c r="I33" s="5" t="str">
        <f aca="false">IF(J33&gt;15.9,"DG","G")</f>
        <v>G</v>
      </c>
      <c r="J33" s="6" t="n">
        <v>15.3</v>
      </c>
      <c r="K33" s="5" t="str">
        <f aca="false">IF(L33&gt;15.9,"DG","G")</f>
        <v>G</v>
      </c>
      <c r="L33" s="5" t="n">
        <v>15.4</v>
      </c>
      <c r="M33" s="5" t="str">
        <f aca="false">IF(N33&gt;15.89,"DG","G")</f>
        <v>DG</v>
      </c>
      <c r="N33" s="5" t="n">
        <v>16.7</v>
      </c>
      <c r="O33" s="5" t="str">
        <f aca="false">IF(P33&gt;15.9,"DG","G")</f>
        <v>DG</v>
      </c>
      <c r="P33" s="9" t="n">
        <v>17.57</v>
      </c>
      <c r="Q33" s="5" t="str">
        <f aca="false">IF(R33&gt;15.9,"DG","Garbanzo")</f>
        <v>DG</v>
      </c>
      <c r="R33" s="5" t="n">
        <v>18.4</v>
      </c>
      <c r="S33" s="8" t="s">
        <v>5</v>
      </c>
      <c r="T33" s="8"/>
    </row>
    <row r="34" customFormat="false" ht="14.25" hidden="false" customHeight="false" outlineLevel="0" collapsed="false">
      <c r="A34" s="5" t="n">
        <v>32</v>
      </c>
      <c r="B34" s="5" t="s">
        <v>4</v>
      </c>
      <c r="C34" s="5" t="n">
        <v>12</v>
      </c>
      <c r="D34" s="5" t="n">
        <v>93</v>
      </c>
      <c r="E34" s="5" t="s">
        <v>4</v>
      </c>
      <c r="F34" s="5" t="n">
        <v>14</v>
      </c>
      <c r="G34" s="5" t="s">
        <v>4</v>
      </c>
      <c r="H34" s="5" t="n">
        <v>14.2</v>
      </c>
      <c r="I34" s="5" t="str">
        <f aca="false">IF(J34&gt;15.9,"DG","G")</f>
        <v>G</v>
      </c>
      <c r="J34" s="6" t="n">
        <v>15.32</v>
      </c>
      <c r="K34" s="5" t="str">
        <f aca="false">IF(L34&gt;15.9,"DG","G")</f>
        <v>DG</v>
      </c>
      <c r="L34" s="5" t="n">
        <v>17.2</v>
      </c>
      <c r="M34" s="5" t="str">
        <f aca="false">IF(N34&gt;15.89,"DG","G")</f>
        <v>DG</v>
      </c>
      <c r="N34" s="5" t="n">
        <v>18.6</v>
      </c>
      <c r="O34" s="5" t="str">
        <f aca="false">IF(P34&gt;15.9,"DG","G")</f>
        <v>DG</v>
      </c>
      <c r="P34" s="9" t="n">
        <v>18.61</v>
      </c>
      <c r="Q34" s="8" t="s">
        <v>5</v>
      </c>
      <c r="R34" s="8"/>
      <c r="S34" s="8" t="s">
        <v>5</v>
      </c>
      <c r="T34" s="8"/>
    </row>
    <row r="35" customFormat="false" ht="14.25" hidden="false" customHeight="false" outlineLevel="0" collapsed="false">
      <c r="A35" s="5" t="n">
        <v>33</v>
      </c>
      <c r="B35" s="5" t="s">
        <v>4</v>
      </c>
      <c r="C35" s="5" t="n">
        <v>12</v>
      </c>
      <c r="D35" s="5" t="n">
        <v>93</v>
      </c>
      <c r="E35" s="5" t="s">
        <v>4</v>
      </c>
      <c r="F35" s="5" t="n">
        <v>12.7</v>
      </c>
      <c r="G35" s="5" t="s">
        <v>4</v>
      </c>
      <c r="H35" s="5" t="n">
        <v>13</v>
      </c>
      <c r="I35" s="5" t="str">
        <f aca="false">IF(J35&gt;15.9,"DG","G")</f>
        <v>G</v>
      </c>
      <c r="J35" s="6" t="n">
        <v>14.41</v>
      </c>
      <c r="K35" s="5" t="str">
        <f aca="false">IF(L35&gt;15.9,"DG","G")</f>
        <v>G</v>
      </c>
      <c r="L35" s="5" t="n">
        <v>15</v>
      </c>
      <c r="M35" s="5" t="str">
        <f aca="false">IF(N35&gt;15.89,"DG","G")</f>
        <v>DG</v>
      </c>
      <c r="N35" s="5" t="n">
        <v>16.1</v>
      </c>
      <c r="O35" s="8" t="s">
        <v>6</v>
      </c>
      <c r="P35" s="11"/>
      <c r="Q35" s="8" t="s">
        <v>6</v>
      </c>
      <c r="R35" s="8"/>
      <c r="S35" s="8" t="s">
        <v>7</v>
      </c>
      <c r="T35" s="8"/>
    </row>
    <row r="36" customFormat="false" ht="14.25" hidden="false" customHeight="false" outlineLevel="0" collapsed="false">
      <c r="A36" s="5" t="n">
        <v>34</v>
      </c>
      <c r="B36" s="5" t="s">
        <v>4</v>
      </c>
      <c r="C36" s="5" t="n">
        <v>12</v>
      </c>
      <c r="D36" s="5" t="n">
        <v>93</v>
      </c>
      <c r="E36" s="5" t="s">
        <v>4</v>
      </c>
      <c r="F36" s="5" t="n">
        <v>14.3</v>
      </c>
      <c r="G36" s="5" t="s">
        <v>4</v>
      </c>
      <c r="H36" s="5" t="n">
        <v>15.2</v>
      </c>
      <c r="I36" s="5" t="str">
        <f aca="false">IF(J36&gt;15.9,"DG","G")</f>
        <v>DG</v>
      </c>
      <c r="J36" s="6" t="n">
        <v>16.43</v>
      </c>
      <c r="K36" s="5" t="str">
        <f aca="false">IF(L36&gt;15.9,"DG","G")</f>
        <v>DG</v>
      </c>
      <c r="L36" s="5" t="n">
        <v>16.8</v>
      </c>
      <c r="M36" s="5" t="str">
        <f aca="false">IF(N36&gt;15.89,"DG","G")</f>
        <v>DG</v>
      </c>
      <c r="N36" s="5" t="n">
        <v>17.4</v>
      </c>
      <c r="O36" s="5" t="str">
        <f aca="false">IF(P36&gt;15.9,"DG","G")</f>
        <v>DG</v>
      </c>
      <c r="P36" s="9" t="n">
        <v>16.99</v>
      </c>
      <c r="Q36" s="8" t="s">
        <v>5</v>
      </c>
      <c r="R36" s="8"/>
      <c r="S36" s="8" t="s">
        <v>6</v>
      </c>
      <c r="T36" s="8"/>
    </row>
    <row r="37" customFormat="false" ht="14.25" hidden="false" customHeight="false" outlineLevel="0" collapsed="false">
      <c r="A37" s="5" t="n">
        <v>35</v>
      </c>
      <c r="B37" s="5" t="s">
        <v>4</v>
      </c>
      <c r="C37" s="5" t="n">
        <v>12</v>
      </c>
      <c r="D37" s="5" t="n">
        <v>93</v>
      </c>
      <c r="E37" s="5" t="s">
        <v>4</v>
      </c>
      <c r="F37" s="5" t="n">
        <v>12.9</v>
      </c>
      <c r="G37" s="5" t="s">
        <v>4</v>
      </c>
      <c r="H37" s="5" t="n">
        <v>14.3</v>
      </c>
      <c r="I37" s="5" t="str">
        <f aca="false">IF(J37&gt;15.9,"DG","G")</f>
        <v>G</v>
      </c>
      <c r="J37" s="6" t="n">
        <v>14.4</v>
      </c>
      <c r="K37" s="5" t="str">
        <f aca="false">IF(L37&gt;15.9,"DG","G")</f>
        <v>DG</v>
      </c>
      <c r="L37" s="5" t="n">
        <v>18.2</v>
      </c>
      <c r="M37" s="8" t="s">
        <v>5</v>
      </c>
      <c r="N37" s="8"/>
      <c r="O37" s="8" t="s">
        <v>6</v>
      </c>
      <c r="P37" s="11"/>
      <c r="Q37" s="8" t="s">
        <v>6</v>
      </c>
      <c r="R37" s="8"/>
      <c r="S37" s="8" t="s">
        <v>7</v>
      </c>
      <c r="T37" s="8"/>
    </row>
    <row r="38" customFormat="false" ht="14.25" hidden="false" customHeight="false" outlineLevel="0" collapsed="false">
      <c r="A38" s="5" t="n">
        <v>36</v>
      </c>
      <c r="B38" s="5" t="s">
        <v>4</v>
      </c>
      <c r="C38" s="5" t="n">
        <v>12</v>
      </c>
      <c r="D38" s="5" t="n">
        <v>93</v>
      </c>
      <c r="E38" s="5" t="s">
        <v>4</v>
      </c>
      <c r="F38" s="5" t="n">
        <v>12.3</v>
      </c>
      <c r="G38" s="5" t="s">
        <v>4</v>
      </c>
      <c r="H38" s="5" t="n">
        <v>12.9</v>
      </c>
      <c r="I38" s="5" t="str">
        <f aca="false">IF(J38&gt;15.9,"DG","G")</f>
        <v>G</v>
      </c>
      <c r="J38" s="6" t="n">
        <v>14.72</v>
      </c>
      <c r="K38" s="5" t="str">
        <f aca="false">IF(L38&gt;15.9,"DG","G")</f>
        <v>G</v>
      </c>
      <c r="L38" s="5" t="n">
        <v>15.8</v>
      </c>
      <c r="M38" s="5" t="str">
        <f aca="false">IF(N38&gt;15.89,"DG","G")</f>
        <v>DG</v>
      </c>
      <c r="N38" s="5" t="n">
        <v>16.7</v>
      </c>
      <c r="O38" s="8" t="s">
        <v>5</v>
      </c>
      <c r="P38" s="11"/>
      <c r="Q38" s="8" t="s">
        <v>7</v>
      </c>
      <c r="R38" s="8"/>
      <c r="S38" s="8" t="s">
        <v>11</v>
      </c>
      <c r="T38" s="8"/>
    </row>
    <row r="39" customFormat="false" ht="14.25" hidden="false" customHeight="false" outlineLevel="0" collapsed="false">
      <c r="A39" s="5" t="n">
        <v>37</v>
      </c>
      <c r="B39" s="5" t="s">
        <v>4</v>
      </c>
      <c r="C39" s="5" t="n">
        <v>12</v>
      </c>
      <c r="D39" s="5" t="n">
        <v>93</v>
      </c>
      <c r="E39" s="5" t="s">
        <v>4</v>
      </c>
      <c r="F39" s="5" t="n">
        <v>13.6</v>
      </c>
      <c r="G39" s="5" t="s">
        <v>4</v>
      </c>
      <c r="H39" s="5" t="n">
        <v>14.2</v>
      </c>
      <c r="I39" s="5" t="str">
        <f aca="false">IF(J39&gt;15.9,"DG","G")</f>
        <v>G</v>
      </c>
      <c r="J39" s="6" t="n">
        <v>15.79</v>
      </c>
      <c r="K39" s="5" t="str">
        <f aca="false">IF(L39&gt;15.9,"DG","G")</f>
        <v>DG</v>
      </c>
      <c r="L39" s="5" t="n">
        <v>16.4</v>
      </c>
      <c r="M39" s="5" t="str">
        <f aca="false">IF(N39&gt;15.89,"DG","G")</f>
        <v>DG</v>
      </c>
      <c r="N39" s="5" t="n">
        <v>17.2</v>
      </c>
      <c r="O39" s="8" t="s">
        <v>5</v>
      </c>
      <c r="P39" s="11"/>
      <c r="Q39" s="8" t="s">
        <v>5</v>
      </c>
      <c r="R39" s="8"/>
      <c r="S39" s="8" t="s">
        <v>7</v>
      </c>
      <c r="T39" s="8"/>
    </row>
    <row r="40" customFormat="false" ht="14.25" hidden="false" customHeight="false" outlineLevel="0" collapsed="false">
      <c r="A40" s="5" t="n">
        <v>38</v>
      </c>
      <c r="B40" s="5" t="s">
        <v>4</v>
      </c>
      <c r="C40" s="5" t="n">
        <v>12</v>
      </c>
      <c r="D40" s="5" t="n">
        <v>93</v>
      </c>
      <c r="E40" s="5" t="s">
        <v>4</v>
      </c>
      <c r="F40" s="5" t="n">
        <v>13.7</v>
      </c>
      <c r="G40" s="5" t="s">
        <v>4</v>
      </c>
      <c r="H40" s="5" t="n">
        <v>14.3</v>
      </c>
      <c r="I40" s="5" t="str">
        <f aca="false">IF(J40&gt;15.9,"DG","G")</f>
        <v>G</v>
      </c>
      <c r="J40" s="6" t="n">
        <v>15.9</v>
      </c>
      <c r="K40" s="5" t="str">
        <f aca="false">IF(L40&gt;15.9,"DG","G")</f>
        <v>DG</v>
      </c>
      <c r="L40" s="5" t="n">
        <v>16.6</v>
      </c>
      <c r="M40" s="5" t="str">
        <f aca="false">IF(N40&gt;15.89,"DG","G")</f>
        <v>DG</v>
      </c>
      <c r="N40" s="5" t="n">
        <v>17.7</v>
      </c>
      <c r="O40" s="5" t="str">
        <f aca="false">IF(P40&gt;15.9,"DG","G")</f>
        <v>DG</v>
      </c>
      <c r="P40" s="9" t="n">
        <v>18.33</v>
      </c>
      <c r="Q40" s="8" t="s">
        <v>6</v>
      </c>
      <c r="R40" s="8"/>
      <c r="S40" s="8" t="s">
        <v>6</v>
      </c>
      <c r="T40" s="8"/>
    </row>
    <row r="41" customFormat="false" ht="14.25" hidden="false" customHeight="false" outlineLevel="0" collapsed="false">
      <c r="A41" s="5" t="n">
        <v>39</v>
      </c>
      <c r="B41" s="5" t="s">
        <v>4</v>
      </c>
      <c r="C41" s="5" t="n">
        <v>12</v>
      </c>
      <c r="D41" s="5" t="n">
        <v>93</v>
      </c>
      <c r="E41" s="5" t="s">
        <v>4</v>
      </c>
      <c r="F41" s="5" t="n">
        <v>13.5</v>
      </c>
      <c r="G41" s="5" t="s">
        <v>4</v>
      </c>
      <c r="H41" s="5" t="n">
        <v>14.6</v>
      </c>
      <c r="I41" s="5" t="str">
        <f aca="false">IF(J41&gt;15.9,"DG","G")</f>
        <v>G</v>
      </c>
      <c r="J41" s="6" t="n">
        <v>15.5</v>
      </c>
      <c r="K41" s="5" t="str">
        <f aca="false">IF(L41&gt;15.9,"DG","G")</f>
        <v>DG</v>
      </c>
      <c r="L41" s="5" t="n">
        <v>17.3</v>
      </c>
      <c r="M41" s="5" t="str">
        <f aca="false">IF(N41&gt;15.89,"DG","G")</f>
        <v>DG</v>
      </c>
      <c r="N41" s="5" t="n">
        <v>18.5</v>
      </c>
      <c r="O41" s="8" t="s">
        <v>5</v>
      </c>
      <c r="P41" s="11"/>
      <c r="Q41" s="8" t="s">
        <v>5</v>
      </c>
      <c r="R41" s="8"/>
      <c r="S41" s="8" t="s">
        <v>5</v>
      </c>
      <c r="T41" s="8"/>
    </row>
    <row r="42" customFormat="false" ht="14.25" hidden="false" customHeight="false" outlineLevel="0" collapsed="false">
      <c r="A42" s="5" t="n">
        <v>40</v>
      </c>
      <c r="B42" s="5" t="s">
        <v>4</v>
      </c>
      <c r="C42" s="5" t="n">
        <v>12</v>
      </c>
      <c r="D42" s="5" t="n">
        <v>93</v>
      </c>
      <c r="E42" s="5" t="s">
        <v>4</v>
      </c>
      <c r="F42" s="5" t="n">
        <v>12.3</v>
      </c>
      <c r="G42" s="5" t="s">
        <v>4</v>
      </c>
      <c r="H42" s="5" t="n">
        <v>13.4</v>
      </c>
      <c r="I42" s="5" t="str">
        <f aca="false">IF(J42&gt;15.9,"DG","G")</f>
        <v>G</v>
      </c>
      <c r="J42" s="6" t="n">
        <v>14.41</v>
      </c>
      <c r="K42" s="5" t="str">
        <f aca="false">IF(L42&gt;15.9,"DG","G")</f>
        <v>DG</v>
      </c>
      <c r="L42" s="5" t="n">
        <v>16.6</v>
      </c>
      <c r="M42" s="5" t="str">
        <f aca="false">IF(N42&gt;15.89,"DG","G")</f>
        <v>DG</v>
      </c>
      <c r="N42" s="5" t="n">
        <v>16.9</v>
      </c>
      <c r="O42" s="5" t="str">
        <f aca="false">IF(P42&gt;15.9,"DG","G")</f>
        <v>DG</v>
      </c>
      <c r="P42" s="9" t="n">
        <v>17.51</v>
      </c>
      <c r="Q42" s="8" t="s">
        <v>6</v>
      </c>
      <c r="R42" s="8"/>
      <c r="S42" s="8" t="s">
        <v>8</v>
      </c>
      <c r="T42" s="8"/>
    </row>
    <row r="43" customFormat="false" ht="14.25" hidden="false" customHeight="false" outlineLevel="0" collapsed="false">
      <c r="A43" s="5" t="n">
        <v>41</v>
      </c>
      <c r="B43" s="5" t="s">
        <v>4</v>
      </c>
      <c r="C43" s="5" t="n">
        <v>12</v>
      </c>
      <c r="D43" s="5" t="n">
        <v>93</v>
      </c>
      <c r="E43" s="5" t="s">
        <v>4</v>
      </c>
      <c r="F43" s="5" t="n">
        <v>14</v>
      </c>
      <c r="G43" s="5" t="s">
        <v>4</v>
      </c>
      <c r="H43" s="5" t="n">
        <v>14.8</v>
      </c>
      <c r="I43" s="5" t="str">
        <f aca="false">IF(J43&gt;15.9,"DG","G")</f>
        <v>G</v>
      </c>
      <c r="J43" s="6" t="n">
        <v>15.7</v>
      </c>
      <c r="K43" s="5" t="str">
        <f aca="false">IF(L43&gt;15.9,"DG","G")</f>
        <v>DG</v>
      </c>
      <c r="L43" s="5" t="n">
        <v>16.3</v>
      </c>
      <c r="M43" s="5" t="str">
        <f aca="false">IF(N43&gt;15.89,"DG","G")</f>
        <v>DG</v>
      </c>
      <c r="N43" s="5" t="n">
        <v>17</v>
      </c>
      <c r="O43" s="5" t="str">
        <f aca="false">IF(P43&gt;15.9,"DG","G")</f>
        <v>DG</v>
      </c>
      <c r="P43" s="9" t="n">
        <v>17.8</v>
      </c>
      <c r="Q43" s="5" t="str">
        <f aca="false">IF(R43&gt;15.9,"DG","Garbanzo")</f>
        <v>DG</v>
      </c>
      <c r="R43" s="5" t="n">
        <v>18.2</v>
      </c>
      <c r="S43" s="8" t="s">
        <v>5</v>
      </c>
      <c r="T43" s="8"/>
    </row>
    <row r="44" customFormat="false" ht="14.25" hidden="false" customHeight="false" outlineLevel="0" collapsed="false">
      <c r="A44" s="5" t="n">
        <v>42</v>
      </c>
      <c r="B44" s="5" t="s">
        <v>4</v>
      </c>
      <c r="C44" s="5" t="n">
        <v>12</v>
      </c>
      <c r="D44" s="5" t="n">
        <v>93</v>
      </c>
      <c r="E44" s="5" t="s">
        <v>4</v>
      </c>
      <c r="F44" s="5" t="n">
        <v>12.8</v>
      </c>
      <c r="G44" s="5" t="s">
        <v>4</v>
      </c>
      <c r="H44" s="5" t="n">
        <v>13.5</v>
      </c>
      <c r="I44" s="5" t="str">
        <f aca="false">IF(J44&gt;15.9,"DG","G")</f>
        <v>G</v>
      </c>
      <c r="J44" s="6" t="n">
        <v>14.47</v>
      </c>
      <c r="K44" s="5" t="str">
        <f aca="false">IF(L44&gt;15.9,"DG","G")</f>
        <v>G</v>
      </c>
      <c r="L44" s="5" t="n">
        <v>15.4</v>
      </c>
      <c r="M44" s="5" t="str">
        <f aca="false">IF(N44&gt;15.89,"DG","G")</f>
        <v>DG</v>
      </c>
      <c r="N44" s="5" t="n">
        <v>16.8</v>
      </c>
      <c r="O44" s="5" t="str">
        <f aca="false">IF(P44&gt;15.9,"DG","G")</f>
        <v>DG</v>
      </c>
      <c r="P44" s="9" t="n">
        <v>18.22</v>
      </c>
      <c r="Q44" s="8" t="s">
        <v>5</v>
      </c>
      <c r="R44" s="8"/>
      <c r="S44" s="8" t="s">
        <v>5</v>
      </c>
      <c r="T44" s="8"/>
    </row>
    <row r="45" customFormat="false" ht="14.25" hidden="false" customHeight="false" outlineLevel="0" collapsed="false">
      <c r="A45" s="5" t="n">
        <v>43</v>
      </c>
      <c r="B45" s="5" t="s">
        <v>4</v>
      </c>
      <c r="C45" s="5" t="n">
        <v>12</v>
      </c>
      <c r="D45" s="5" t="n">
        <v>93</v>
      </c>
      <c r="E45" s="5" t="s">
        <v>4</v>
      </c>
      <c r="F45" s="5" t="n">
        <v>13.8</v>
      </c>
      <c r="G45" s="5" t="s">
        <v>4</v>
      </c>
      <c r="H45" s="5" t="n">
        <v>14.5</v>
      </c>
      <c r="I45" s="5" t="str">
        <f aca="false">IF(J45&gt;15.9,"DG","G")</f>
        <v>DG</v>
      </c>
      <c r="J45" s="6" t="n">
        <v>16.18</v>
      </c>
      <c r="K45" s="5" t="str">
        <f aca="false">IF(L45&gt;15.9,"DG","G")</f>
        <v>DG</v>
      </c>
      <c r="L45" s="5" t="n">
        <v>16.3</v>
      </c>
      <c r="M45" s="5" t="str">
        <f aca="false">IF(N45&gt;15.89,"DG","G")</f>
        <v>DG</v>
      </c>
      <c r="N45" s="5" t="n">
        <v>17.2</v>
      </c>
      <c r="O45" s="5" t="str">
        <f aca="false">IF(P45&gt;15.9,"DG","G")</f>
        <v>DG</v>
      </c>
      <c r="P45" s="9" t="n">
        <v>17.8</v>
      </c>
      <c r="Q45" s="5" t="str">
        <f aca="false">IF(R45&gt;15.9,"DG","Garbanzo")</f>
        <v>DG</v>
      </c>
      <c r="R45" s="5" t="n">
        <v>18.2</v>
      </c>
      <c r="S45" s="8" t="s">
        <v>5</v>
      </c>
      <c r="T45" s="8"/>
    </row>
    <row r="46" customFormat="false" ht="14.25" hidden="false" customHeight="false" outlineLevel="0" collapsed="false">
      <c r="A46" s="5" t="n">
        <v>44</v>
      </c>
      <c r="B46" s="5" t="s">
        <v>4</v>
      </c>
      <c r="C46" s="5" t="n">
        <v>12</v>
      </c>
      <c r="D46" s="5" t="n">
        <v>93</v>
      </c>
      <c r="E46" s="5" t="s">
        <v>4</v>
      </c>
      <c r="F46" s="5" t="n">
        <v>13.6</v>
      </c>
      <c r="G46" s="5" t="s">
        <v>4</v>
      </c>
      <c r="H46" s="5" t="n">
        <v>13.9</v>
      </c>
      <c r="I46" s="5" t="str">
        <f aca="false">IF(J46&gt;15.9,"DG","G")</f>
        <v>G</v>
      </c>
      <c r="J46" s="6" t="n">
        <v>14.96</v>
      </c>
      <c r="K46" s="5" t="str">
        <f aca="false">IF(L46&gt;15.9,"DG","G")</f>
        <v>DG</v>
      </c>
      <c r="L46" s="5" t="n">
        <v>16.2</v>
      </c>
      <c r="M46" s="5" t="str">
        <f aca="false">IF(N46&gt;15.89,"DG","G")</f>
        <v>DG</v>
      </c>
      <c r="N46" s="5" t="n">
        <v>17.5</v>
      </c>
      <c r="O46" s="5" t="str">
        <f aca="false">IF(P46&gt;15.9,"DG","G")</f>
        <v>DG</v>
      </c>
      <c r="P46" s="9" t="n">
        <v>18.33</v>
      </c>
      <c r="Q46" s="8" t="s">
        <v>5</v>
      </c>
      <c r="R46" s="8"/>
      <c r="S46" s="8" t="s">
        <v>5</v>
      </c>
      <c r="T46" s="8"/>
    </row>
    <row r="47" customFormat="false" ht="14.25" hidden="false" customHeight="false" outlineLevel="0" collapsed="false">
      <c r="A47" s="5" t="n">
        <v>45</v>
      </c>
      <c r="B47" s="5" t="s">
        <v>4</v>
      </c>
      <c r="C47" s="5" t="n">
        <v>12</v>
      </c>
      <c r="D47" s="5" t="n">
        <v>93</v>
      </c>
      <c r="E47" s="5" t="s">
        <v>4</v>
      </c>
      <c r="F47" s="5" t="n">
        <v>12.2</v>
      </c>
      <c r="G47" s="5" t="s">
        <v>4</v>
      </c>
      <c r="H47" s="5" t="n">
        <v>12.4</v>
      </c>
      <c r="I47" s="5" t="str">
        <f aca="false">IF(J47&gt;15.9,"DG","G")</f>
        <v>G</v>
      </c>
      <c r="J47" s="6" t="n">
        <v>13.52</v>
      </c>
      <c r="K47" s="5" t="str">
        <f aca="false">IF(L47&gt;15.9,"DG","G")</f>
        <v>G</v>
      </c>
      <c r="L47" s="5" t="n">
        <v>14.6</v>
      </c>
      <c r="M47" s="5" t="str">
        <f aca="false">IF(N47&gt;15.89,"DG","G")</f>
        <v>G</v>
      </c>
      <c r="N47" s="5" t="n">
        <v>15.8</v>
      </c>
      <c r="O47" s="5" t="str">
        <f aca="false">IF(P47&gt;15.9,"DG","G")</f>
        <v>DG</v>
      </c>
      <c r="P47" s="9" t="n">
        <v>17.1</v>
      </c>
      <c r="Q47" s="8" t="s">
        <v>7</v>
      </c>
      <c r="R47" s="8"/>
      <c r="S47" s="8" t="s">
        <v>7</v>
      </c>
      <c r="T47" s="8"/>
    </row>
    <row r="48" customFormat="false" ht="14.25" hidden="false" customHeight="false" outlineLevel="0" collapsed="false">
      <c r="A48" s="5" t="n">
        <v>46</v>
      </c>
      <c r="B48" s="5" t="s">
        <v>4</v>
      </c>
      <c r="C48" s="5" t="n">
        <v>12</v>
      </c>
      <c r="D48" s="5" t="n">
        <v>96</v>
      </c>
      <c r="E48" s="5" t="s">
        <v>4</v>
      </c>
      <c r="F48" s="5" t="n">
        <v>13.2</v>
      </c>
      <c r="G48" s="5" t="s">
        <v>4</v>
      </c>
      <c r="H48" s="5" t="n">
        <v>14.2</v>
      </c>
      <c r="I48" s="5" t="str">
        <f aca="false">IF(J48&gt;15.9,"DG","G")</f>
        <v>DG</v>
      </c>
      <c r="J48" s="6" t="n">
        <v>16.1</v>
      </c>
      <c r="K48" s="5" t="str">
        <f aca="false">IF(L48&gt;15.9,"DG","G")</f>
        <v>DG</v>
      </c>
      <c r="L48" s="5" t="n">
        <v>17.9</v>
      </c>
      <c r="M48" s="5" t="str">
        <f aca="false">IF(N48&gt;15.89,"DG","G")</f>
        <v>DG</v>
      </c>
      <c r="N48" s="5" t="n">
        <v>17.1</v>
      </c>
      <c r="O48" s="5" t="str">
        <f aca="false">IF(P48&gt;15.9,"DG","G")</f>
        <v>DG</v>
      </c>
      <c r="P48" s="9" t="n">
        <v>18.1</v>
      </c>
      <c r="Q48" s="5" t="str">
        <f aca="false">IF(R48&gt;15.9,"DG","Garbanzo")</f>
        <v>DG</v>
      </c>
      <c r="R48" s="5" t="n">
        <v>18.6</v>
      </c>
      <c r="S48" s="8" t="s">
        <v>5</v>
      </c>
      <c r="T48" s="8"/>
    </row>
    <row r="49" customFormat="false" ht="14.25" hidden="false" customHeight="false" outlineLevel="0" collapsed="false">
      <c r="A49" s="5" t="n">
        <v>47</v>
      </c>
      <c r="B49" s="5" t="s">
        <v>4</v>
      </c>
      <c r="C49" s="5" t="n">
        <v>12</v>
      </c>
      <c r="D49" s="5" t="n">
        <v>96</v>
      </c>
      <c r="E49" s="5" t="s">
        <v>4</v>
      </c>
      <c r="F49" s="5" t="n">
        <v>12.7</v>
      </c>
      <c r="G49" s="5" t="s">
        <v>4</v>
      </c>
      <c r="H49" s="5" t="n">
        <v>13.6</v>
      </c>
      <c r="I49" s="5" t="str">
        <f aca="false">IF(J49&gt;15.9,"DG","G")</f>
        <v>G</v>
      </c>
      <c r="J49" s="6" t="n">
        <v>15.12</v>
      </c>
      <c r="K49" s="5" t="str">
        <f aca="false">IF(L49&gt;15.9,"DG","G")</f>
        <v>DG</v>
      </c>
      <c r="L49" s="5" t="n">
        <v>16.5</v>
      </c>
      <c r="M49" s="5" t="str">
        <f aca="false">IF(N49&gt;15.89,"DG","G")</f>
        <v>DG</v>
      </c>
      <c r="N49" s="5" t="n">
        <v>17.2</v>
      </c>
      <c r="O49" s="5" t="str">
        <f aca="false">IF(P49&gt;15.9,"DG","G")</f>
        <v>DG</v>
      </c>
      <c r="P49" s="9" t="n">
        <v>17.8</v>
      </c>
      <c r="Q49" s="8" t="s">
        <v>5</v>
      </c>
      <c r="R49" s="8"/>
      <c r="S49" s="8" t="s">
        <v>6</v>
      </c>
      <c r="T49" s="8"/>
    </row>
    <row r="50" customFormat="false" ht="14.25" hidden="false" customHeight="false" outlineLevel="0" collapsed="false">
      <c r="A50" s="5" t="n">
        <v>48</v>
      </c>
      <c r="B50" s="5" t="s">
        <v>4</v>
      </c>
      <c r="C50" s="5" t="n">
        <v>12</v>
      </c>
      <c r="D50" s="5" t="n">
        <v>97</v>
      </c>
      <c r="E50" s="5" t="s">
        <v>4</v>
      </c>
      <c r="F50" s="5" t="n">
        <v>13.4</v>
      </c>
      <c r="G50" s="5" t="s">
        <v>4</v>
      </c>
      <c r="H50" s="5" t="n">
        <v>14.6</v>
      </c>
      <c r="I50" s="5" t="str">
        <f aca="false">IF(J50&gt;15.9,"DG","G")</f>
        <v>G</v>
      </c>
      <c r="J50" s="6" t="n">
        <v>15.53</v>
      </c>
      <c r="K50" s="5" t="str">
        <f aca="false">IF(L50&gt;15.9,"DG","G")</f>
        <v>DG</v>
      </c>
      <c r="L50" s="5" t="n">
        <v>16.6</v>
      </c>
      <c r="M50" s="5" t="str">
        <f aca="false">IF(N50&gt;15.89,"DG","G")</f>
        <v>DG</v>
      </c>
      <c r="N50" s="5" t="n">
        <v>17.1</v>
      </c>
      <c r="O50" s="5" t="str">
        <f aca="false">IF(P50&gt;15.9,"DG","G")</f>
        <v>DG</v>
      </c>
      <c r="P50" s="9" t="n">
        <v>18.22</v>
      </c>
      <c r="Q50" s="8" t="s">
        <v>5</v>
      </c>
      <c r="R50" s="8"/>
      <c r="S50" s="8" t="s">
        <v>6</v>
      </c>
      <c r="T50" s="8"/>
    </row>
    <row r="51" customFormat="false" ht="14.25" hidden="false" customHeight="false" outlineLevel="0" collapsed="false">
      <c r="A51" s="5" t="n">
        <v>49</v>
      </c>
      <c r="B51" s="5" t="s">
        <v>4</v>
      </c>
      <c r="C51" s="5" t="n">
        <v>12</v>
      </c>
      <c r="D51" s="5" t="n">
        <v>97</v>
      </c>
      <c r="E51" s="5" t="s">
        <v>4</v>
      </c>
      <c r="F51" s="5" t="n">
        <v>12.6</v>
      </c>
      <c r="G51" s="5" t="s">
        <v>4</v>
      </c>
      <c r="H51" s="5" t="n">
        <v>13.3</v>
      </c>
      <c r="I51" s="5" t="str">
        <f aca="false">IF(J51&gt;15.9,"DG","G")</f>
        <v>G</v>
      </c>
      <c r="J51" s="6" t="n">
        <v>14</v>
      </c>
      <c r="K51" s="5" t="str">
        <f aca="false">IF(L51&gt;15.9,"DG","G")</f>
        <v>G</v>
      </c>
      <c r="L51" s="5" t="n">
        <v>14.6</v>
      </c>
      <c r="M51" s="5" t="str">
        <f aca="false">IF(N51&gt;15.89,"DG","G")</f>
        <v>DG</v>
      </c>
      <c r="N51" s="5" t="n">
        <v>15.9</v>
      </c>
      <c r="O51" s="5" t="str">
        <f aca="false">IF(P51&gt;15.9,"DG","G")</f>
        <v>DG</v>
      </c>
      <c r="P51" s="9" t="n">
        <v>16.12</v>
      </c>
      <c r="Q51" s="8" t="s">
        <v>5</v>
      </c>
      <c r="R51" s="8"/>
      <c r="S51" s="8" t="s">
        <v>5</v>
      </c>
      <c r="T51" s="8"/>
    </row>
    <row r="52" customFormat="false" ht="14.25" hidden="false" customHeight="false" outlineLevel="0" collapsed="false">
      <c r="A52" s="5" t="n">
        <v>50</v>
      </c>
      <c r="B52" s="5" t="s">
        <v>4</v>
      </c>
      <c r="C52" s="5" t="n">
        <v>12</v>
      </c>
      <c r="D52" s="5" t="n">
        <v>97</v>
      </c>
      <c r="E52" s="5" t="s">
        <v>4</v>
      </c>
      <c r="F52" s="5" t="n">
        <v>12.5</v>
      </c>
      <c r="G52" s="5" t="s">
        <v>4</v>
      </c>
      <c r="H52" s="5" t="n">
        <v>13.4</v>
      </c>
      <c r="I52" s="5" t="str">
        <f aca="false">IF(J52&gt;15.9,"DG","G")</f>
        <v>G</v>
      </c>
      <c r="J52" s="6" t="n">
        <v>14.35</v>
      </c>
      <c r="K52" s="5" t="str">
        <f aca="false">IF(L52&gt;15.9,"DG","G")</f>
        <v>G</v>
      </c>
      <c r="L52" s="5" t="n">
        <v>15.5</v>
      </c>
      <c r="M52" s="5" t="str">
        <f aca="false">IF(N52&gt;15.89,"DG","G")</f>
        <v>DG</v>
      </c>
      <c r="N52" s="5" t="n">
        <v>16.1</v>
      </c>
      <c r="O52" s="5" t="str">
        <f aca="false">IF(P52&gt;15.9,"DG","G")</f>
        <v>DG</v>
      </c>
      <c r="P52" s="9" t="n">
        <v>17.08</v>
      </c>
      <c r="Q52" s="8" t="s">
        <v>5</v>
      </c>
      <c r="R52" s="8"/>
      <c r="S52" s="8" t="s">
        <v>5</v>
      </c>
      <c r="T52" s="8"/>
    </row>
    <row r="56" customFormat="false" ht="14.25" hidden="false" customHeight="false" outlineLevel="0" collapsed="false">
      <c r="L56" s="0" t="s">
        <v>12</v>
      </c>
      <c r="M56" s="0" t="s">
        <v>13</v>
      </c>
      <c r="N56" s="0" t="s">
        <v>14</v>
      </c>
      <c r="O56" s="0" t="s">
        <v>15</v>
      </c>
      <c r="P56" s="0" t="s">
        <v>16</v>
      </c>
      <c r="Q56" s="0" t="s">
        <v>17</v>
      </c>
      <c r="R56" s="0" t="s">
        <v>18</v>
      </c>
    </row>
    <row r="57" customFormat="false" ht="14.25" hidden="false" customHeight="false" outlineLevel="0" collapsed="false">
      <c r="L57" s="0" t="n">
        <v>0</v>
      </c>
      <c r="M57" s="0" t="n">
        <v>0</v>
      </c>
      <c r="N57" s="0" t="n">
        <v>1</v>
      </c>
      <c r="O57" s="0" t="n">
        <v>1</v>
      </c>
      <c r="P57" s="0" t="n">
        <v>7</v>
      </c>
      <c r="Q57" s="0" t="n">
        <v>28</v>
      </c>
      <c r="R57" s="0" t="n">
        <v>13</v>
      </c>
    </row>
  </sheetData>
  <mergeCells count="12">
    <mergeCell ref="A1:A2"/>
    <mergeCell ref="B1:B2"/>
    <mergeCell ref="C1:C2"/>
    <mergeCell ref="D1:D2"/>
    <mergeCell ref="E1:F1"/>
    <mergeCell ref="G1:H1"/>
    <mergeCell ref="I1:J1"/>
    <mergeCell ref="K1:L1"/>
    <mergeCell ref="M1:N1"/>
    <mergeCell ref="O1:P1"/>
    <mergeCell ref="Q1:R1"/>
    <mergeCell ref="S1:T1"/>
  </mergeCells>
  <conditionalFormatting sqref="L3">
    <cfRule type="cellIs" priority="2" operator="greaterThan" aboveAverage="0" equalAverage="0" bottom="0" percent="0" rank="0" text="" dxfId="0">
      <formula>$N$3</formula>
    </cfRule>
    <cfRule type="cellIs" priority="3" operator="greaterThan" aboveAverage="0" equalAverage="0" bottom="0" percent="0" rank="0" text="" dxfId="1">
      <formula>$N$3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J41" activeCellId="0" sqref="J41"/>
    </sheetView>
  </sheetViews>
  <sheetFormatPr defaultColWidth="10.7304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3</v>
      </c>
      <c r="D1" s="4" t="n">
        <v>46247</v>
      </c>
      <c r="E1" s="4" t="n">
        <v>46248</v>
      </c>
      <c r="F1" s="4" t="n">
        <v>46249</v>
      </c>
      <c r="G1" s="4" t="n">
        <v>46250</v>
      </c>
      <c r="H1" s="4" t="n">
        <v>46251</v>
      </c>
      <c r="I1" s="4" t="n">
        <v>46252</v>
      </c>
    </row>
    <row r="2" customFormat="false" ht="14.25" hidden="false" customHeight="false" outlineLevel="0" collapsed="false">
      <c r="A2" s="5" t="n">
        <v>51</v>
      </c>
      <c r="B2" s="14" t="s">
        <v>19</v>
      </c>
      <c r="C2" s="14" t="n">
        <v>33</v>
      </c>
      <c r="D2" s="14" t="s">
        <v>6</v>
      </c>
      <c r="E2" s="14" t="s">
        <v>6</v>
      </c>
      <c r="F2" s="15" t="s">
        <v>10</v>
      </c>
      <c r="G2" s="15" t="s">
        <v>10</v>
      </c>
      <c r="H2" s="15" t="s">
        <v>10</v>
      </c>
      <c r="I2" s="15" t="s">
        <v>10</v>
      </c>
    </row>
    <row r="3" customFormat="false" ht="14.25" hidden="false" customHeight="false" outlineLevel="0" collapsed="false">
      <c r="A3" s="5" t="n">
        <v>52</v>
      </c>
      <c r="B3" s="14" t="s">
        <v>19</v>
      </c>
      <c r="C3" s="14" t="n">
        <v>33</v>
      </c>
      <c r="D3" s="14" t="s">
        <v>5</v>
      </c>
      <c r="E3" s="14" t="s">
        <v>6</v>
      </c>
      <c r="F3" s="14" t="s">
        <v>8</v>
      </c>
      <c r="G3" s="14" t="s">
        <v>8</v>
      </c>
      <c r="H3" s="14" t="s">
        <v>11</v>
      </c>
      <c r="I3" s="16" t="s">
        <v>20</v>
      </c>
    </row>
    <row r="4" customFormat="false" ht="14.25" hidden="false" customHeight="false" outlineLevel="0" collapsed="false">
      <c r="A4" s="5" t="n">
        <v>53</v>
      </c>
      <c r="B4" s="14" t="s">
        <v>19</v>
      </c>
      <c r="C4" s="14" t="n">
        <v>33</v>
      </c>
      <c r="D4" s="14" t="s">
        <v>6</v>
      </c>
      <c r="E4" s="14" t="s">
        <v>7</v>
      </c>
      <c r="F4" s="14" t="s">
        <v>8</v>
      </c>
      <c r="G4" s="14" t="s">
        <v>8</v>
      </c>
      <c r="H4" s="14" t="s">
        <v>8</v>
      </c>
      <c r="I4" s="16" t="s">
        <v>20</v>
      </c>
    </row>
    <row r="5" customFormat="false" ht="14.25" hidden="false" customHeight="false" outlineLevel="0" collapsed="false">
      <c r="A5" s="5" t="n">
        <v>54</v>
      </c>
      <c r="B5" s="14" t="s">
        <v>19</v>
      </c>
      <c r="C5" s="14" t="n">
        <v>39</v>
      </c>
      <c r="D5" s="14" t="s">
        <v>7</v>
      </c>
      <c r="E5" s="14" t="s">
        <v>7</v>
      </c>
      <c r="F5" s="14" t="s">
        <v>11</v>
      </c>
      <c r="G5" s="14" t="s">
        <v>11</v>
      </c>
      <c r="H5" s="14" t="s">
        <v>11</v>
      </c>
      <c r="I5" s="16" t="s">
        <v>20</v>
      </c>
    </row>
    <row r="6" customFormat="false" ht="14.25" hidden="false" customHeight="false" outlineLevel="0" collapsed="false">
      <c r="A6" s="5" t="n">
        <v>55</v>
      </c>
      <c r="B6" s="14" t="s">
        <v>19</v>
      </c>
      <c r="C6" s="14" t="n">
        <v>39</v>
      </c>
      <c r="D6" s="14" t="s">
        <v>7</v>
      </c>
      <c r="E6" s="14" t="s">
        <v>8</v>
      </c>
      <c r="F6" s="14" t="s">
        <v>8</v>
      </c>
      <c r="G6" s="14" t="s">
        <v>8</v>
      </c>
      <c r="H6" s="14" t="s">
        <v>11</v>
      </c>
      <c r="I6" s="16" t="s">
        <v>20</v>
      </c>
    </row>
    <row r="7" customFormat="false" ht="14.25" hidden="false" customHeight="false" outlineLevel="0" collapsed="false">
      <c r="A7" s="5" t="n">
        <v>56</v>
      </c>
      <c r="B7" s="14" t="s">
        <v>19</v>
      </c>
      <c r="C7" s="14" t="n">
        <v>39</v>
      </c>
      <c r="D7" s="14" t="s">
        <v>6</v>
      </c>
      <c r="E7" s="14" t="s">
        <v>7</v>
      </c>
      <c r="F7" s="14" t="s">
        <v>7</v>
      </c>
      <c r="G7" s="14" t="s">
        <v>7</v>
      </c>
      <c r="H7" s="14" t="s">
        <v>7</v>
      </c>
      <c r="I7" s="16" t="s">
        <v>20</v>
      </c>
    </row>
    <row r="8" customFormat="false" ht="14.25" hidden="false" customHeight="false" outlineLevel="0" collapsed="false">
      <c r="A8" s="5" t="n">
        <v>57</v>
      </c>
      <c r="B8" s="14" t="s">
        <v>19</v>
      </c>
      <c r="C8" s="14" t="n">
        <v>39</v>
      </c>
      <c r="D8" s="14" t="s">
        <v>7</v>
      </c>
      <c r="E8" s="14" t="s">
        <v>7</v>
      </c>
      <c r="F8" s="14" t="s">
        <v>11</v>
      </c>
      <c r="G8" s="14" t="s">
        <v>11</v>
      </c>
      <c r="H8" s="16" t="s">
        <v>21</v>
      </c>
      <c r="I8" s="16" t="s">
        <v>20</v>
      </c>
    </row>
    <row r="9" customFormat="false" ht="14.25" hidden="false" customHeight="false" outlineLevel="0" collapsed="false">
      <c r="A9" s="5" t="n">
        <v>58</v>
      </c>
      <c r="B9" s="14" t="s">
        <v>19</v>
      </c>
      <c r="C9" s="14" t="n">
        <v>39</v>
      </c>
      <c r="D9" s="15" t="s">
        <v>10</v>
      </c>
      <c r="E9" s="15" t="s">
        <v>10</v>
      </c>
      <c r="F9" s="15" t="s">
        <v>10</v>
      </c>
      <c r="G9" s="15" t="s">
        <v>10</v>
      </c>
      <c r="H9" s="15" t="s">
        <v>10</v>
      </c>
      <c r="I9" s="15" t="s">
        <v>10</v>
      </c>
    </row>
    <row r="10" customFormat="false" ht="14.25" hidden="false" customHeight="false" outlineLevel="0" collapsed="false">
      <c r="A10" s="5" t="n">
        <v>59</v>
      </c>
      <c r="B10" s="14" t="s">
        <v>19</v>
      </c>
      <c r="C10" s="14" t="n">
        <v>151</v>
      </c>
      <c r="D10" s="14" t="s">
        <v>6</v>
      </c>
      <c r="E10" s="14" t="s">
        <v>6</v>
      </c>
      <c r="F10" s="14" t="s">
        <v>7</v>
      </c>
      <c r="G10" s="14" t="s">
        <v>7</v>
      </c>
      <c r="H10" s="14" t="s">
        <v>8</v>
      </c>
      <c r="I10" s="16" t="s">
        <v>20</v>
      </c>
    </row>
    <row r="11" customFormat="false" ht="14.25" hidden="false" customHeight="false" outlineLevel="0" collapsed="false">
      <c r="A11" s="5" t="n">
        <v>60</v>
      </c>
      <c r="B11" s="14" t="s">
        <v>19</v>
      </c>
      <c r="C11" s="14" t="n">
        <v>147</v>
      </c>
      <c r="D11" s="14" t="s">
        <v>6</v>
      </c>
      <c r="E11" s="14" t="s">
        <v>7</v>
      </c>
      <c r="F11" s="14" t="s">
        <v>8</v>
      </c>
      <c r="G11" s="14" t="s">
        <v>11</v>
      </c>
      <c r="H11" s="16" t="s">
        <v>22</v>
      </c>
      <c r="I11" s="16" t="s">
        <v>23</v>
      </c>
    </row>
    <row r="12" customFormat="false" ht="14.25" hidden="false" customHeight="false" outlineLevel="0" collapsed="false">
      <c r="A12" s="5" t="n">
        <v>61</v>
      </c>
      <c r="B12" s="14" t="s">
        <v>19</v>
      </c>
      <c r="C12" s="14" t="n">
        <v>147</v>
      </c>
      <c r="D12" s="14" t="s">
        <v>8</v>
      </c>
      <c r="E12" s="14" t="s">
        <v>8</v>
      </c>
      <c r="F12" s="14" t="s">
        <v>11</v>
      </c>
      <c r="G12" s="14" t="s">
        <v>11</v>
      </c>
      <c r="H12" s="16" t="s">
        <v>21</v>
      </c>
      <c r="I12" s="16" t="s">
        <v>24</v>
      </c>
    </row>
    <row r="13" customFormat="false" ht="14.25" hidden="false" customHeight="false" outlineLevel="0" collapsed="false">
      <c r="A13" s="5" t="n">
        <v>62</v>
      </c>
      <c r="B13" s="14" t="s">
        <v>19</v>
      </c>
      <c r="C13" s="14" t="n">
        <v>147</v>
      </c>
      <c r="D13" s="14" t="s">
        <v>7</v>
      </c>
      <c r="E13" s="14" t="s">
        <v>7</v>
      </c>
      <c r="F13" s="14" t="s">
        <v>8</v>
      </c>
      <c r="G13" s="16" t="s">
        <v>22</v>
      </c>
      <c r="H13" s="16" t="s">
        <v>22</v>
      </c>
      <c r="I13" s="16" t="s">
        <v>24</v>
      </c>
    </row>
    <row r="14" customFormat="false" ht="14.25" hidden="false" customHeight="false" outlineLevel="0" collapsed="false">
      <c r="A14" s="5" t="n">
        <v>63</v>
      </c>
      <c r="B14" s="14" t="s">
        <v>19</v>
      </c>
      <c r="C14" s="14" t="n">
        <v>147</v>
      </c>
      <c r="D14" s="14" t="s">
        <v>8</v>
      </c>
      <c r="E14" s="14" t="s">
        <v>8</v>
      </c>
      <c r="F14" s="14" t="s">
        <v>8</v>
      </c>
      <c r="G14" s="14" t="s">
        <v>8</v>
      </c>
      <c r="H14" s="16" t="s">
        <v>22</v>
      </c>
      <c r="I14" s="16" t="s">
        <v>23</v>
      </c>
    </row>
    <row r="15" customFormat="false" ht="14.25" hidden="false" customHeight="false" outlineLevel="0" collapsed="false">
      <c r="A15" s="5" t="n">
        <v>64</v>
      </c>
      <c r="B15" s="14" t="s">
        <v>19</v>
      </c>
      <c r="C15" s="14" t="n">
        <v>147</v>
      </c>
      <c r="D15" s="14" t="s">
        <v>7</v>
      </c>
      <c r="E15" s="14" t="s">
        <v>7</v>
      </c>
      <c r="F15" s="14" t="s">
        <v>11</v>
      </c>
      <c r="G15" s="14" t="s">
        <v>11</v>
      </c>
      <c r="H15" s="16" t="s">
        <v>22</v>
      </c>
      <c r="I15" s="16" t="s">
        <v>23</v>
      </c>
    </row>
    <row r="16" customFormat="false" ht="14.25" hidden="false" customHeight="false" outlineLevel="0" collapsed="false">
      <c r="A16" s="5" t="n">
        <v>65</v>
      </c>
      <c r="B16" s="14" t="s">
        <v>19</v>
      </c>
      <c r="C16" s="14" t="n">
        <v>147</v>
      </c>
      <c r="D16" s="14" t="s">
        <v>6</v>
      </c>
      <c r="E16" s="14" t="s">
        <v>7</v>
      </c>
      <c r="F16" s="14" t="s">
        <v>8</v>
      </c>
      <c r="G16" s="14" t="s">
        <v>8</v>
      </c>
      <c r="H16" s="16" t="s">
        <v>22</v>
      </c>
      <c r="I16" s="16" t="s">
        <v>24</v>
      </c>
    </row>
    <row r="17" customFormat="false" ht="14.25" hidden="false" customHeight="false" outlineLevel="0" collapsed="false">
      <c r="A17" s="5" t="n">
        <v>66</v>
      </c>
      <c r="B17" s="14" t="s">
        <v>19</v>
      </c>
      <c r="C17" s="14" t="n">
        <v>147</v>
      </c>
      <c r="D17" s="14" t="s">
        <v>6</v>
      </c>
      <c r="E17" s="14" t="s">
        <v>7</v>
      </c>
      <c r="F17" s="14" t="s">
        <v>8</v>
      </c>
      <c r="G17" s="14" t="s">
        <v>8</v>
      </c>
      <c r="H17" s="14" t="s">
        <v>11</v>
      </c>
      <c r="I17" s="16" t="s">
        <v>20</v>
      </c>
    </row>
    <row r="18" customFormat="false" ht="14.25" hidden="false" customHeight="false" outlineLevel="0" collapsed="false">
      <c r="A18" s="5" t="n">
        <v>67</v>
      </c>
      <c r="B18" s="14" t="s">
        <v>19</v>
      </c>
      <c r="C18" s="14" t="n">
        <v>146</v>
      </c>
      <c r="D18" s="14" t="s">
        <v>5</v>
      </c>
      <c r="E18" s="14" t="s">
        <v>6</v>
      </c>
      <c r="F18" s="14" t="s">
        <v>7</v>
      </c>
      <c r="G18" s="14" t="s">
        <v>7</v>
      </c>
      <c r="H18" s="14" t="s">
        <v>7</v>
      </c>
      <c r="I18" s="16" t="s">
        <v>24</v>
      </c>
    </row>
    <row r="19" customFormat="false" ht="14.25" hidden="false" customHeight="false" outlineLevel="0" collapsed="false">
      <c r="A19" s="5" t="n">
        <v>68</v>
      </c>
      <c r="B19" s="14" t="s">
        <v>19</v>
      </c>
      <c r="C19" s="14" t="n">
        <v>146</v>
      </c>
      <c r="D19" s="14" t="s">
        <v>8</v>
      </c>
      <c r="E19" s="14" t="s">
        <v>11</v>
      </c>
      <c r="F19" s="14" t="s">
        <v>11</v>
      </c>
      <c r="G19" s="16" t="s">
        <v>21</v>
      </c>
      <c r="H19" s="16" t="s">
        <v>24</v>
      </c>
      <c r="I19" s="16" t="s">
        <v>25</v>
      </c>
    </row>
    <row r="20" customFormat="false" ht="14.25" hidden="false" customHeight="false" outlineLevel="0" collapsed="false">
      <c r="A20" s="5" t="n">
        <v>69</v>
      </c>
      <c r="B20" s="14" t="s">
        <v>19</v>
      </c>
      <c r="C20" s="14" t="n">
        <v>146</v>
      </c>
      <c r="D20" s="14" t="s">
        <v>6</v>
      </c>
      <c r="E20" s="14" t="s">
        <v>7</v>
      </c>
      <c r="F20" s="14" t="s">
        <v>8</v>
      </c>
      <c r="G20" s="14" t="s">
        <v>11</v>
      </c>
      <c r="H20" s="16" t="s">
        <v>22</v>
      </c>
      <c r="I20" s="16" t="s">
        <v>20</v>
      </c>
    </row>
    <row r="21" customFormat="false" ht="14.25" hidden="false" customHeight="false" outlineLevel="0" collapsed="false">
      <c r="A21" s="5" t="n">
        <v>70</v>
      </c>
      <c r="B21" s="14" t="s">
        <v>19</v>
      </c>
      <c r="C21" s="14" t="n">
        <v>146</v>
      </c>
      <c r="D21" s="14" t="s">
        <v>8</v>
      </c>
      <c r="E21" s="14" t="s">
        <v>8</v>
      </c>
      <c r="F21" s="14" t="s">
        <v>8</v>
      </c>
      <c r="G21" s="14" t="s">
        <v>8</v>
      </c>
      <c r="H21" s="14" t="s">
        <v>11</v>
      </c>
      <c r="I21" s="16" t="s">
        <v>24</v>
      </c>
    </row>
    <row r="22" customFormat="false" ht="14.25" hidden="false" customHeight="false" outlineLevel="0" collapsed="false">
      <c r="A22" s="5" t="n">
        <v>71</v>
      </c>
      <c r="B22" s="14" t="s">
        <v>19</v>
      </c>
      <c r="C22" s="14" t="n">
        <v>146</v>
      </c>
      <c r="D22" s="14" t="s">
        <v>8</v>
      </c>
      <c r="E22" s="14" t="s">
        <v>11</v>
      </c>
      <c r="F22" s="16" t="s">
        <v>26</v>
      </c>
      <c r="G22" s="16" t="s">
        <v>24</v>
      </c>
      <c r="H22" s="16" t="s">
        <v>23</v>
      </c>
      <c r="I22" s="16" t="s">
        <v>20</v>
      </c>
    </row>
    <row r="23" customFormat="false" ht="14.25" hidden="false" customHeight="false" outlineLevel="0" collapsed="false">
      <c r="A23" s="5" t="n">
        <v>72</v>
      </c>
      <c r="B23" s="14" t="s">
        <v>19</v>
      </c>
      <c r="C23" s="14" t="n">
        <v>146</v>
      </c>
      <c r="D23" s="14" t="s">
        <v>7</v>
      </c>
      <c r="E23" s="14" t="s">
        <v>7</v>
      </c>
      <c r="F23" s="14" t="s">
        <v>8</v>
      </c>
      <c r="G23" s="14" t="s">
        <v>8</v>
      </c>
      <c r="H23" s="14" t="s">
        <v>11</v>
      </c>
      <c r="I23" s="16" t="s">
        <v>21</v>
      </c>
    </row>
    <row r="24" customFormat="false" ht="14.25" hidden="false" customHeight="false" outlineLevel="0" collapsed="false">
      <c r="A24" s="5" t="n">
        <v>73</v>
      </c>
      <c r="B24" s="14" t="s">
        <v>19</v>
      </c>
      <c r="C24" s="14" t="n">
        <v>137</v>
      </c>
      <c r="D24" s="14" t="s">
        <v>8</v>
      </c>
      <c r="E24" s="14" t="s">
        <v>8</v>
      </c>
      <c r="F24" s="14" t="s">
        <v>8</v>
      </c>
      <c r="G24" s="14" t="s">
        <v>11</v>
      </c>
      <c r="H24" s="16" t="s">
        <v>22</v>
      </c>
      <c r="I24" s="16" t="s">
        <v>24</v>
      </c>
    </row>
    <row r="25" customFormat="false" ht="14.25" hidden="false" customHeight="false" outlineLevel="0" collapsed="false">
      <c r="A25" s="5" t="n">
        <v>74</v>
      </c>
      <c r="B25" s="14" t="s">
        <v>19</v>
      </c>
      <c r="C25" s="14" t="n">
        <v>137</v>
      </c>
      <c r="D25" s="14" t="s">
        <v>6</v>
      </c>
      <c r="E25" s="14" t="s">
        <v>8</v>
      </c>
      <c r="F25" s="14" t="s">
        <v>8</v>
      </c>
      <c r="G25" s="14" t="s">
        <v>8</v>
      </c>
      <c r="H25" s="14" t="s">
        <v>11</v>
      </c>
      <c r="I25" s="16" t="s">
        <v>24</v>
      </c>
    </row>
    <row r="26" customFormat="false" ht="14.25" hidden="false" customHeight="false" outlineLevel="0" collapsed="false">
      <c r="A26" s="5" t="n">
        <v>75</v>
      </c>
      <c r="B26" s="14" t="s">
        <v>19</v>
      </c>
      <c r="C26" s="14" t="n">
        <v>137</v>
      </c>
      <c r="D26" s="14" t="s">
        <v>6</v>
      </c>
      <c r="E26" s="15" t="s">
        <v>10</v>
      </c>
      <c r="F26" s="15" t="s">
        <v>10</v>
      </c>
      <c r="G26" s="15" t="s">
        <v>10</v>
      </c>
      <c r="H26" s="15" t="s">
        <v>10</v>
      </c>
      <c r="I26" s="15"/>
    </row>
    <row r="27" customFormat="false" ht="14.25" hidden="false" customHeight="false" outlineLevel="0" collapsed="false">
      <c r="A27" s="5" t="n">
        <v>76</v>
      </c>
      <c r="B27" s="14" t="s">
        <v>19</v>
      </c>
      <c r="C27" s="14" t="n">
        <v>137</v>
      </c>
      <c r="D27" s="14" t="s">
        <v>6</v>
      </c>
      <c r="E27" s="15" t="s">
        <v>10</v>
      </c>
      <c r="F27" s="15" t="s">
        <v>10</v>
      </c>
      <c r="G27" s="15" t="s">
        <v>10</v>
      </c>
      <c r="H27" s="15" t="s">
        <v>10</v>
      </c>
      <c r="I27" s="15"/>
    </row>
    <row r="28" customFormat="false" ht="14.25" hidden="false" customHeight="false" outlineLevel="0" collapsed="false">
      <c r="A28" s="5" t="n">
        <v>77</v>
      </c>
      <c r="B28" s="14" t="s">
        <v>19</v>
      </c>
      <c r="C28" s="14" t="n">
        <v>137</v>
      </c>
      <c r="D28" s="14" t="s">
        <v>6</v>
      </c>
      <c r="E28" s="14" t="s">
        <v>8</v>
      </c>
      <c r="F28" s="14" t="s">
        <v>8</v>
      </c>
      <c r="G28" s="14" t="s">
        <v>8</v>
      </c>
      <c r="H28" s="14" t="s">
        <v>11</v>
      </c>
      <c r="I28" s="16" t="s">
        <v>21</v>
      </c>
    </row>
    <row r="29" customFormat="false" ht="14.25" hidden="false" customHeight="false" outlineLevel="0" collapsed="false">
      <c r="A29" s="5" t="n">
        <v>78</v>
      </c>
      <c r="B29" s="14" t="s">
        <v>19</v>
      </c>
      <c r="C29" s="14" t="n">
        <v>137</v>
      </c>
      <c r="D29" s="14" t="s">
        <v>6</v>
      </c>
      <c r="E29" s="15" t="s">
        <v>10</v>
      </c>
      <c r="F29" s="15" t="s">
        <v>10</v>
      </c>
      <c r="G29" s="15" t="s">
        <v>10</v>
      </c>
      <c r="H29" s="15" t="s">
        <v>10</v>
      </c>
      <c r="I29" s="15"/>
    </row>
    <row r="30" customFormat="false" ht="14.25" hidden="false" customHeight="false" outlineLevel="0" collapsed="false">
      <c r="A30" s="5" t="n">
        <v>79</v>
      </c>
      <c r="B30" s="14" t="s">
        <v>19</v>
      </c>
      <c r="C30" s="14" t="n">
        <v>137</v>
      </c>
      <c r="D30" s="14" t="s">
        <v>7</v>
      </c>
      <c r="E30" s="14" t="s">
        <v>8</v>
      </c>
      <c r="F30" s="14" t="s">
        <v>8</v>
      </c>
      <c r="G30" s="14" t="s">
        <v>8</v>
      </c>
      <c r="H30" s="14" t="s">
        <v>11</v>
      </c>
      <c r="I30" s="16" t="s">
        <v>24</v>
      </c>
    </row>
    <row r="31" customFormat="false" ht="14.25" hidden="false" customHeight="false" outlineLevel="0" collapsed="false">
      <c r="A31" s="5" t="n">
        <v>80</v>
      </c>
      <c r="B31" s="14" t="s">
        <v>19</v>
      </c>
      <c r="C31" s="14" t="n">
        <v>137</v>
      </c>
      <c r="D31" s="14" t="s">
        <v>6</v>
      </c>
      <c r="E31" s="14" t="s">
        <v>8</v>
      </c>
      <c r="F31" s="14" t="s">
        <v>11</v>
      </c>
      <c r="G31" s="14" t="s">
        <v>11</v>
      </c>
      <c r="H31" s="16" t="s">
        <v>22</v>
      </c>
      <c r="I31" s="16" t="s">
        <v>21</v>
      </c>
    </row>
    <row r="32" customFormat="false" ht="14.25" hidden="false" customHeight="false" outlineLevel="0" collapsed="false">
      <c r="A32" s="5" t="n">
        <v>81</v>
      </c>
      <c r="B32" s="14" t="s">
        <v>19</v>
      </c>
      <c r="C32" s="14" t="n">
        <v>137</v>
      </c>
      <c r="D32" s="14" t="s">
        <v>5</v>
      </c>
      <c r="E32" s="14" t="s">
        <v>6</v>
      </c>
      <c r="F32" s="14" t="s">
        <v>7</v>
      </c>
      <c r="G32" s="14" t="s">
        <v>8</v>
      </c>
      <c r="H32" s="14" t="s">
        <v>8</v>
      </c>
      <c r="I32" s="16" t="s">
        <v>21</v>
      </c>
    </row>
    <row r="33" customFormat="false" ht="14.25" hidden="false" customHeight="false" outlineLevel="0" collapsed="false">
      <c r="A33" s="5" t="n">
        <v>82</v>
      </c>
      <c r="B33" s="14" t="s">
        <v>19</v>
      </c>
      <c r="C33" s="14" t="n">
        <v>137</v>
      </c>
      <c r="D33" s="14" t="s">
        <v>6</v>
      </c>
      <c r="E33" s="14" t="s">
        <v>8</v>
      </c>
      <c r="F33" s="14" t="s">
        <v>8</v>
      </c>
      <c r="G33" s="14" t="s">
        <v>11</v>
      </c>
      <c r="H33" s="14" t="s">
        <v>11</v>
      </c>
      <c r="I33" s="16" t="s">
        <v>20</v>
      </c>
    </row>
    <row r="34" customFormat="false" ht="14.25" hidden="false" customHeight="false" outlineLevel="0" collapsed="false">
      <c r="A34" s="5" t="n">
        <v>83</v>
      </c>
      <c r="B34" s="14" t="s">
        <v>19</v>
      </c>
      <c r="C34" s="14" t="n">
        <v>132</v>
      </c>
      <c r="D34" s="14" t="s">
        <v>5</v>
      </c>
      <c r="E34" s="14" t="s">
        <v>8</v>
      </c>
      <c r="F34" s="14" t="s">
        <v>11</v>
      </c>
      <c r="G34" s="14" t="s">
        <v>11</v>
      </c>
      <c r="H34" s="16" t="s">
        <v>22</v>
      </c>
      <c r="I34" s="16" t="s">
        <v>25</v>
      </c>
    </row>
    <row r="35" customFormat="false" ht="14.25" hidden="false" customHeight="false" outlineLevel="0" collapsed="false">
      <c r="A35" s="5" t="n">
        <v>84</v>
      </c>
      <c r="B35" s="14" t="s">
        <v>19</v>
      </c>
      <c r="C35" s="14" t="n">
        <v>132</v>
      </c>
      <c r="D35" s="14" t="s">
        <v>7</v>
      </c>
      <c r="E35" s="14" t="s">
        <v>11</v>
      </c>
      <c r="F35" s="14" t="s">
        <v>11</v>
      </c>
      <c r="G35" s="16" t="s">
        <v>25</v>
      </c>
      <c r="H35" s="16" t="s">
        <v>27</v>
      </c>
      <c r="I35" s="16" t="s">
        <v>25</v>
      </c>
    </row>
    <row r="36" customFormat="false" ht="14.25" hidden="false" customHeight="false" outlineLevel="0" collapsed="false">
      <c r="A36" s="5" t="n">
        <v>85</v>
      </c>
      <c r="B36" s="14" t="s">
        <v>19</v>
      </c>
      <c r="C36" s="14" t="n">
        <v>132</v>
      </c>
      <c r="D36" s="14" t="s">
        <v>5</v>
      </c>
      <c r="E36" s="14" t="s">
        <v>8</v>
      </c>
      <c r="F36" s="14" t="s">
        <v>8</v>
      </c>
      <c r="G36" s="14" t="s">
        <v>8</v>
      </c>
      <c r="H36" s="14" t="s">
        <v>8</v>
      </c>
      <c r="I36" s="16" t="s">
        <v>23</v>
      </c>
    </row>
    <row r="37" customFormat="false" ht="14.25" hidden="false" customHeight="false" outlineLevel="0" collapsed="false">
      <c r="A37" s="5" t="n">
        <v>86</v>
      </c>
      <c r="B37" s="14" t="s">
        <v>19</v>
      </c>
      <c r="C37" s="14" t="n">
        <v>132</v>
      </c>
      <c r="D37" s="14" t="s">
        <v>5</v>
      </c>
      <c r="E37" s="14" t="s">
        <v>6</v>
      </c>
      <c r="F37" s="14" t="s">
        <v>6</v>
      </c>
      <c r="G37" s="14" t="s">
        <v>8</v>
      </c>
      <c r="H37" s="16" t="s">
        <v>22</v>
      </c>
      <c r="I37" s="16" t="s">
        <v>24</v>
      </c>
    </row>
    <row r="38" customFormat="false" ht="14.25" hidden="false" customHeight="false" outlineLevel="0" collapsed="false">
      <c r="A38" s="5" t="n">
        <v>87</v>
      </c>
      <c r="B38" s="14" t="s">
        <v>19</v>
      </c>
      <c r="C38" s="14" t="n">
        <v>132</v>
      </c>
      <c r="D38" s="14" t="s">
        <v>6</v>
      </c>
      <c r="E38" s="14" t="s">
        <v>8</v>
      </c>
      <c r="F38" s="14" t="s">
        <v>11</v>
      </c>
      <c r="G38" s="14" t="s">
        <v>11</v>
      </c>
      <c r="H38" s="16" t="s">
        <v>22</v>
      </c>
      <c r="I38" s="16" t="s">
        <v>25</v>
      </c>
    </row>
    <row r="39" customFormat="false" ht="14.25" hidden="false" customHeight="false" outlineLevel="0" collapsed="false">
      <c r="A39" s="5" t="n">
        <v>88</v>
      </c>
      <c r="B39" s="14" t="s">
        <v>19</v>
      </c>
      <c r="C39" s="14" t="n">
        <v>132</v>
      </c>
      <c r="D39" s="14" t="s">
        <v>5</v>
      </c>
      <c r="E39" s="14" t="s">
        <v>6</v>
      </c>
      <c r="F39" s="14" t="s">
        <v>8</v>
      </c>
      <c r="G39" s="14" t="s">
        <v>11</v>
      </c>
      <c r="H39" s="16" t="s">
        <v>22</v>
      </c>
      <c r="I39" s="16" t="s">
        <v>20</v>
      </c>
    </row>
    <row r="40" customFormat="false" ht="14.25" hidden="false" customHeight="false" outlineLevel="0" collapsed="false">
      <c r="A40" s="5" t="n">
        <v>89</v>
      </c>
      <c r="B40" s="14" t="s">
        <v>19</v>
      </c>
      <c r="C40" s="14" t="n">
        <v>132</v>
      </c>
      <c r="D40" s="14" t="s">
        <v>5</v>
      </c>
      <c r="E40" s="14" t="s">
        <v>5</v>
      </c>
      <c r="F40" s="14" t="s">
        <v>6</v>
      </c>
      <c r="G40" s="14" t="s">
        <v>7</v>
      </c>
      <c r="H40" s="14" t="s">
        <v>8</v>
      </c>
      <c r="I40" s="16" t="s">
        <v>20</v>
      </c>
    </row>
    <row r="41" customFormat="false" ht="14.25" hidden="false" customHeight="false" outlineLevel="0" collapsed="false">
      <c r="A41" s="5" t="n">
        <v>90</v>
      </c>
      <c r="B41" s="14" t="s">
        <v>19</v>
      </c>
      <c r="C41" s="14" t="n">
        <v>132</v>
      </c>
      <c r="D41" s="14" t="s">
        <v>7</v>
      </c>
      <c r="E41" s="14" t="s">
        <v>8</v>
      </c>
      <c r="F41" s="14" t="s">
        <v>8</v>
      </c>
      <c r="G41" s="14" t="s">
        <v>8</v>
      </c>
      <c r="H41" s="14" t="s">
        <v>11</v>
      </c>
      <c r="I41" s="16" t="s">
        <v>23</v>
      </c>
    </row>
    <row r="42" customFormat="false" ht="14.25" hidden="false" customHeight="false" outlineLevel="0" collapsed="false">
      <c r="A42" s="5" t="n">
        <v>91</v>
      </c>
      <c r="B42" s="14" t="s">
        <v>19</v>
      </c>
      <c r="C42" s="14" t="n">
        <v>132</v>
      </c>
      <c r="D42" s="14" t="s">
        <v>5</v>
      </c>
      <c r="E42" s="14" t="s">
        <v>6</v>
      </c>
      <c r="F42" s="14" t="s">
        <v>7</v>
      </c>
      <c r="G42" s="14" t="s">
        <v>11</v>
      </c>
      <c r="H42" s="14" t="s">
        <v>11</v>
      </c>
      <c r="I42" s="16" t="s">
        <v>22</v>
      </c>
    </row>
    <row r="43" customFormat="false" ht="14.25" hidden="false" customHeight="false" outlineLevel="0" collapsed="false">
      <c r="A43" s="5" t="n">
        <v>92</v>
      </c>
      <c r="B43" s="14" t="s">
        <v>19</v>
      </c>
      <c r="C43" s="14" t="n">
        <v>132</v>
      </c>
      <c r="D43" s="14" t="s">
        <v>6</v>
      </c>
      <c r="E43" s="14" t="s">
        <v>8</v>
      </c>
      <c r="F43" s="14" t="s">
        <v>11</v>
      </c>
      <c r="G43" s="14" t="s">
        <v>11</v>
      </c>
      <c r="H43" s="16" t="s">
        <v>22</v>
      </c>
      <c r="I43" s="16" t="s">
        <v>24</v>
      </c>
    </row>
    <row r="44" customFormat="false" ht="14.25" hidden="false" customHeight="false" outlineLevel="0" collapsed="false">
      <c r="A44" s="5" t="n">
        <v>93</v>
      </c>
      <c r="B44" s="14" t="s">
        <v>19</v>
      </c>
      <c r="C44" s="14" t="n">
        <v>132</v>
      </c>
      <c r="D44" s="14" t="s">
        <v>5</v>
      </c>
      <c r="E44" s="14" t="s">
        <v>8</v>
      </c>
      <c r="F44" s="14" t="s">
        <v>8</v>
      </c>
      <c r="G44" s="14" t="s">
        <v>11</v>
      </c>
      <c r="H44" s="16" t="s">
        <v>22</v>
      </c>
      <c r="I44" s="16" t="s">
        <v>20</v>
      </c>
    </row>
    <row r="45" customFormat="false" ht="14.25" hidden="false" customHeight="false" outlineLevel="0" collapsed="false">
      <c r="A45" s="5" t="n">
        <v>94</v>
      </c>
      <c r="B45" s="14" t="s">
        <v>19</v>
      </c>
      <c r="C45" s="14" t="n">
        <v>132</v>
      </c>
      <c r="D45" s="14" t="s">
        <v>7</v>
      </c>
      <c r="E45" s="14" t="s">
        <v>7</v>
      </c>
      <c r="F45" s="14" t="s">
        <v>8</v>
      </c>
      <c r="G45" s="14" t="s">
        <v>8</v>
      </c>
      <c r="H45" s="14" t="s">
        <v>28</v>
      </c>
      <c r="I45" s="16" t="s">
        <v>24</v>
      </c>
    </row>
    <row r="46" customFormat="false" ht="14.25" hidden="false" customHeight="false" outlineLevel="0" collapsed="false">
      <c r="A46" s="5" t="n">
        <v>95</v>
      </c>
      <c r="B46" s="14" t="s">
        <v>19</v>
      </c>
      <c r="C46" s="14" t="n">
        <v>113</v>
      </c>
      <c r="D46" s="14" t="s">
        <v>5</v>
      </c>
      <c r="E46" s="14" t="s">
        <v>7</v>
      </c>
      <c r="F46" s="14" t="s">
        <v>8</v>
      </c>
      <c r="G46" s="14" t="s">
        <v>11</v>
      </c>
      <c r="H46" s="14" t="s">
        <v>11</v>
      </c>
      <c r="I46" s="16" t="s">
        <v>21</v>
      </c>
    </row>
    <row r="47" customFormat="false" ht="14.25" hidden="false" customHeight="false" outlineLevel="0" collapsed="false">
      <c r="A47" s="5" t="n">
        <v>96</v>
      </c>
      <c r="B47" s="14" t="s">
        <v>19</v>
      </c>
      <c r="C47" s="14" t="n">
        <v>113</v>
      </c>
      <c r="D47" s="14" t="s">
        <v>6</v>
      </c>
      <c r="E47" s="14" t="s">
        <v>8</v>
      </c>
      <c r="F47" s="14" t="s">
        <v>8</v>
      </c>
      <c r="G47" s="14" t="s">
        <v>8</v>
      </c>
      <c r="H47" s="14" t="s">
        <v>11</v>
      </c>
      <c r="I47" s="16" t="s">
        <v>24</v>
      </c>
    </row>
    <row r="48" customFormat="false" ht="14.25" hidden="false" customHeight="false" outlineLevel="0" collapsed="false">
      <c r="A48" s="5" t="n">
        <v>97</v>
      </c>
      <c r="B48" s="14" t="s">
        <v>19</v>
      </c>
      <c r="C48" s="14" t="n">
        <v>113</v>
      </c>
      <c r="D48" s="14" t="s">
        <v>5</v>
      </c>
      <c r="E48" s="14" t="s">
        <v>7</v>
      </c>
      <c r="F48" s="14" t="s">
        <v>8</v>
      </c>
      <c r="G48" s="14" t="s">
        <v>8</v>
      </c>
      <c r="H48" s="14" t="s">
        <v>8</v>
      </c>
      <c r="I48" s="16" t="s">
        <v>22</v>
      </c>
    </row>
    <row r="49" customFormat="false" ht="14.25" hidden="false" customHeight="false" outlineLevel="0" collapsed="false">
      <c r="A49" s="5" t="n">
        <v>98</v>
      </c>
      <c r="B49" s="14" t="s">
        <v>19</v>
      </c>
      <c r="C49" s="14" t="n">
        <v>113</v>
      </c>
      <c r="D49" s="14" t="s">
        <v>6</v>
      </c>
      <c r="E49" s="14" t="s">
        <v>8</v>
      </c>
      <c r="F49" s="14" t="s">
        <v>8</v>
      </c>
      <c r="G49" s="14" t="s">
        <v>8</v>
      </c>
      <c r="H49" s="14" t="s">
        <v>11</v>
      </c>
      <c r="I49" s="16" t="s">
        <v>24</v>
      </c>
    </row>
    <row r="50" customFormat="false" ht="14.25" hidden="false" customHeight="false" outlineLevel="0" collapsed="false">
      <c r="A50" s="5" t="n">
        <v>99</v>
      </c>
      <c r="B50" s="14" t="s">
        <v>19</v>
      </c>
      <c r="C50" s="14" t="n">
        <v>113</v>
      </c>
      <c r="D50" s="14" t="s">
        <v>7</v>
      </c>
      <c r="E50" s="14" t="s">
        <v>8</v>
      </c>
      <c r="F50" s="14" t="s">
        <v>8</v>
      </c>
      <c r="G50" s="14" t="s">
        <v>8</v>
      </c>
      <c r="H50" s="14" t="s">
        <v>11</v>
      </c>
      <c r="I50" s="16" t="s">
        <v>23</v>
      </c>
    </row>
    <row r="51" customFormat="false" ht="14.25" hidden="false" customHeight="false" outlineLevel="0" collapsed="false">
      <c r="A51" s="5" t="n">
        <v>100</v>
      </c>
      <c r="B51" s="14" t="s">
        <v>19</v>
      </c>
      <c r="C51" s="14" t="n">
        <v>113</v>
      </c>
      <c r="D51" s="14" t="s">
        <v>7</v>
      </c>
      <c r="E51" s="14" t="s">
        <v>7</v>
      </c>
      <c r="F51" s="14" t="s">
        <v>8</v>
      </c>
      <c r="G51" s="14" t="s">
        <v>8</v>
      </c>
      <c r="H51" s="16" t="s">
        <v>21</v>
      </c>
      <c r="I51" s="16" t="s">
        <v>20</v>
      </c>
    </row>
    <row r="54" customFormat="false" ht="14.25" hidden="false" customHeight="false" outlineLevel="0" collapsed="false">
      <c r="C54" s="0" t="s">
        <v>12</v>
      </c>
      <c r="D54" s="0" t="s">
        <v>13</v>
      </c>
      <c r="E54" s="0" t="s">
        <v>14</v>
      </c>
      <c r="F54" s="0" t="s">
        <v>15</v>
      </c>
      <c r="G54" s="0" t="s">
        <v>16</v>
      </c>
      <c r="H54" s="0" t="s">
        <v>17</v>
      </c>
    </row>
    <row r="55" customFormat="false" ht="14.25" hidden="false" customHeight="false" outlineLevel="0" collapsed="false">
      <c r="C55" s="0" t="n">
        <v>0</v>
      </c>
      <c r="D55" s="0" t="n">
        <v>0</v>
      </c>
      <c r="E55" s="0" t="n">
        <v>1</v>
      </c>
      <c r="F55" s="0" t="n">
        <v>3</v>
      </c>
      <c r="G55" s="0" t="n">
        <v>16</v>
      </c>
      <c r="H55" s="0" t="n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4" activeCellId="0" sqref="K14"/>
    </sheetView>
  </sheetViews>
  <sheetFormatPr defaultColWidth="10.7304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3</v>
      </c>
      <c r="D1" s="4" t="n">
        <v>46247</v>
      </c>
      <c r="E1" s="4" t="n">
        <v>46248</v>
      </c>
      <c r="F1" s="4" t="n">
        <v>46249</v>
      </c>
      <c r="G1" s="4" t="n">
        <v>46250</v>
      </c>
      <c r="H1" s="4" t="n">
        <v>46251</v>
      </c>
      <c r="I1" s="4" t="n">
        <v>46252</v>
      </c>
    </row>
    <row r="2" customFormat="false" ht="14.25" hidden="false" customHeight="false" outlineLevel="0" collapsed="false">
      <c r="A2" s="5" t="n">
        <v>101</v>
      </c>
      <c r="B2" s="14" t="s">
        <v>29</v>
      </c>
      <c r="C2" s="14" t="n">
        <v>60</v>
      </c>
      <c r="D2" s="14" t="s">
        <v>23</v>
      </c>
      <c r="E2" s="15" t="s">
        <v>10</v>
      </c>
      <c r="F2" s="15" t="s">
        <v>10</v>
      </c>
      <c r="G2" s="15" t="s">
        <v>10</v>
      </c>
      <c r="H2" s="15" t="s">
        <v>10</v>
      </c>
      <c r="I2" s="15" t="s">
        <v>10</v>
      </c>
    </row>
    <row r="3" customFormat="false" ht="14.25" hidden="false" customHeight="false" outlineLevel="0" collapsed="false">
      <c r="A3" s="5" t="n">
        <v>102</v>
      </c>
      <c r="B3" s="14" t="s">
        <v>29</v>
      </c>
      <c r="C3" s="14" t="n">
        <v>60</v>
      </c>
      <c r="D3" s="14" t="s">
        <v>24</v>
      </c>
      <c r="E3" s="14" t="s">
        <v>21</v>
      </c>
      <c r="F3" s="16" t="s">
        <v>25</v>
      </c>
      <c r="G3" s="16" t="s">
        <v>25</v>
      </c>
      <c r="H3" s="16" t="s">
        <v>30</v>
      </c>
      <c r="I3" s="16" t="s">
        <v>31</v>
      </c>
    </row>
    <row r="4" customFormat="false" ht="14.25" hidden="false" customHeight="false" outlineLevel="0" collapsed="false">
      <c r="A4" s="5" t="n">
        <v>103</v>
      </c>
      <c r="B4" s="14" t="s">
        <v>29</v>
      </c>
      <c r="C4" s="14" t="n">
        <v>61</v>
      </c>
      <c r="D4" s="14" t="s">
        <v>24</v>
      </c>
      <c r="E4" s="14" t="s">
        <v>24</v>
      </c>
      <c r="F4" s="14" t="s">
        <v>23</v>
      </c>
      <c r="G4" s="16" t="s">
        <v>25</v>
      </c>
      <c r="H4" s="16" t="s">
        <v>25</v>
      </c>
      <c r="I4" s="16" t="s">
        <v>32</v>
      </c>
    </row>
    <row r="5" customFormat="false" ht="14.25" hidden="false" customHeight="false" outlineLevel="0" collapsed="false">
      <c r="A5" s="5" t="n">
        <v>104</v>
      </c>
      <c r="B5" s="14" t="s">
        <v>29</v>
      </c>
      <c r="C5" s="14" t="n">
        <v>61</v>
      </c>
      <c r="D5" s="14" t="s">
        <v>23</v>
      </c>
      <c r="E5" s="14" t="s">
        <v>23</v>
      </c>
      <c r="F5" s="16" t="s">
        <v>33</v>
      </c>
      <c r="G5" s="16" t="s">
        <v>25</v>
      </c>
      <c r="H5" s="16" t="s">
        <v>33</v>
      </c>
      <c r="I5" s="16" t="s">
        <v>34</v>
      </c>
    </row>
    <row r="6" customFormat="false" ht="14.25" hidden="false" customHeight="false" outlineLevel="0" collapsed="false">
      <c r="A6" s="5" t="n">
        <v>105</v>
      </c>
      <c r="B6" s="14" t="s">
        <v>29</v>
      </c>
      <c r="C6" s="14" t="n">
        <v>64</v>
      </c>
      <c r="D6" s="14" t="s">
        <v>24</v>
      </c>
      <c r="E6" s="14" t="s">
        <v>23</v>
      </c>
      <c r="F6" s="16" t="s">
        <v>35</v>
      </c>
      <c r="G6" s="16" t="s">
        <v>25</v>
      </c>
      <c r="H6" s="16" t="s">
        <v>36</v>
      </c>
      <c r="I6" s="16" t="s">
        <v>31</v>
      </c>
    </row>
    <row r="7" customFormat="false" ht="14.25" hidden="false" customHeight="false" outlineLevel="0" collapsed="false">
      <c r="A7" s="5" t="n">
        <v>106</v>
      </c>
      <c r="B7" s="14" t="s">
        <v>29</v>
      </c>
      <c r="C7" s="14" t="n">
        <v>106</v>
      </c>
      <c r="D7" s="14" t="s">
        <v>21</v>
      </c>
      <c r="E7" s="14" t="s">
        <v>20</v>
      </c>
      <c r="F7" s="16" t="s">
        <v>25</v>
      </c>
      <c r="G7" s="16" t="s">
        <v>25</v>
      </c>
      <c r="H7" s="16" t="s">
        <v>25</v>
      </c>
      <c r="I7" s="16" t="s">
        <v>32</v>
      </c>
    </row>
    <row r="8" customFormat="false" ht="14.25" hidden="false" customHeight="false" outlineLevel="0" collapsed="false">
      <c r="A8" s="5" t="n">
        <v>107</v>
      </c>
      <c r="B8" s="14" t="s">
        <v>29</v>
      </c>
      <c r="C8" s="14" t="n">
        <v>106</v>
      </c>
      <c r="D8" s="14" t="s">
        <v>24</v>
      </c>
      <c r="E8" s="14" t="s">
        <v>20</v>
      </c>
      <c r="F8" s="16" t="s">
        <v>25</v>
      </c>
      <c r="G8" s="16" t="s">
        <v>25</v>
      </c>
      <c r="H8" s="15" t="s">
        <v>10</v>
      </c>
      <c r="I8" s="15" t="s">
        <v>10</v>
      </c>
    </row>
    <row r="9" customFormat="false" ht="14.25" hidden="false" customHeight="false" outlineLevel="0" collapsed="false">
      <c r="A9" s="5" t="n">
        <v>108</v>
      </c>
      <c r="B9" s="14" t="s">
        <v>29</v>
      </c>
      <c r="C9" s="14" t="n">
        <v>106</v>
      </c>
      <c r="D9" s="14" t="s">
        <v>20</v>
      </c>
      <c r="E9" s="14" t="s">
        <v>20</v>
      </c>
      <c r="F9" s="16" t="s">
        <v>25</v>
      </c>
      <c r="G9" s="16" t="s">
        <v>25</v>
      </c>
      <c r="H9" s="16" t="s">
        <v>25</v>
      </c>
      <c r="I9" s="16" t="s">
        <v>34</v>
      </c>
    </row>
    <row r="10" customFormat="false" ht="14.25" hidden="false" customHeight="false" outlineLevel="0" collapsed="false">
      <c r="A10" s="5" t="n">
        <v>109</v>
      </c>
      <c r="B10" s="14" t="s">
        <v>29</v>
      </c>
      <c r="C10" s="14" t="n">
        <v>106</v>
      </c>
      <c r="D10" s="14" t="s">
        <v>23</v>
      </c>
      <c r="E10" s="14" t="s">
        <v>20</v>
      </c>
      <c r="F10" s="16" t="s">
        <v>25</v>
      </c>
      <c r="G10" s="16" t="s">
        <v>33</v>
      </c>
      <c r="H10" s="16" t="s">
        <v>36</v>
      </c>
      <c r="I10" s="16" t="s">
        <v>31</v>
      </c>
    </row>
    <row r="11" customFormat="false" ht="14.25" hidden="false" customHeight="false" outlineLevel="0" collapsed="false">
      <c r="A11" s="5" t="n">
        <v>110</v>
      </c>
      <c r="B11" s="14" t="s">
        <v>29</v>
      </c>
      <c r="C11" s="14" t="n">
        <v>106</v>
      </c>
      <c r="D11" s="14" t="s">
        <v>22</v>
      </c>
      <c r="E11" s="14" t="s">
        <v>20</v>
      </c>
      <c r="F11" s="16" t="s">
        <v>25</v>
      </c>
      <c r="G11" s="16" t="s">
        <v>25</v>
      </c>
      <c r="H11" s="16" t="s">
        <v>25</v>
      </c>
      <c r="I11" s="16" t="s">
        <v>32</v>
      </c>
    </row>
    <row r="12" customFormat="false" ht="14.25" hidden="false" customHeight="false" outlineLevel="0" collapsed="false">
      <c r="A12" s="5" t="n">
        <v>111</v>
      </c>
      <c r="B12" s="14" t="s">
        <v>29</v>
      </c>
      <c r="C12" s="14" t="n">
        <v>106</v>
      </c>
      <c r="D12" s="14" t="s">
        <v>24</v>
      </c>
      <c r="E12" s="16" t="s">
        <v>25</v>
      </c>
      <c r="F12" s="16" t="s">
        <v>33</v>
      </c>
      <c r="G12" s="16" t="s">
        <v>36</v>
      </c>
      <c r="H12" s="16" t="s">
        <v>32</v>
      </c>
      <c r="I12" s="16" t="s">
        <v>31</v>
      </c>
    </row>
    <row r="13" customFormat="false" ht="14.25" hidden="false" customHeight="false" outlineLevel="0" collapsed="false">
      <c r="A13" s="5" t="n">
        <v>112</v>
      </c>
      <c r="B13" s="14" t="s">
        <v>29</v>
      </c>
      <c r="C13" s="14" t="n">
        <v>106</v>
      </c>
      <c r="D13" s="14" t="s">
        <v>20</v>
      </c>
      <c r="E13" s="14" t="s">
        <v>20</v>
      </c>
      <c r="F13" s="16" t="s">
        <v>25</v>
      </c>
      <c r="G13" s="15" t="s">
        <v>10</v>
      </c>
      <c r="H13" s="15" t="s">
        <v>10</v>
      </c>
      <c r="I13" s="15" t="s">
        <v>10</v>
      </c>
    </row>
    <row r="14" customFormat="false" ht="14.25" hidden="false" customHeight="false" outlineLevel="0" collapsed="false">
      <c r="A14" s="5" t="n">
        <v>113</v>
      </c>
      <c r="B14" s="14" t="s">
        <v>29</v>
      </c>
      <c r="C14" s="14" t="n">
        <v>106</v>
      </c>
      <c r="D14" s="14" t="s">
        <v>24</v>
      </c>
      <c r="E14" s="16" t="s">
        <v>25</v>
      </c>
      <c r="F14" s="16" t="s">
        <v>33</v>
      </c>
      <c r="G14" s="16" t="s">
        <v>36</v>
      </c>
      <c r="H14" s="16" t="s">
        <v>32</v>
      </c>
      <c r="I14" s="16" t="s">
        <v>31</v>
      </c>
    </row>
    <row r="15" customFormat="false" ht="14.25" hidden="false" customHeight="false" outlineLevel="0" collapsed="false">
      <c r="A15" s="5" t="n">
        <v>114</v>
      </c>
      <c r="B15" s="14" t="s">
        <v>29</v>
      </c>
      <c r="C15" s="14" t="n">
        <v>106</v>
      </c>
      <c r="D15" s="14" t="s">
        <v>23</v>
      </c>
      <c r="E15" s="14" t="s">
        <v>20</v>
      </c>
      <c r="F15" s="16" t="s">
        <v>25</v>
      </c>
      <c r="G15" s="16" t="s">
        <v>25</v>
      </c>
      <c r="H15" s="16" t="s">
        <v>25</v>
      </c>
      <c r="I15" s="16" t="s">
        <v>36</v>
      </c>
    </row>
    <row r="16" customFormat="false" ht="14.25" hidden="false" customHeight="false" outlineLevel="0" collapsed="false">
      <c r="A16" s="5" t="n">
        <v>115</v>
      </c>
      <c r="B16" s="14" t="s">
        <v>29</v>
      </c>
      <c r="C16" s="14" t="n">
        <v>106</v>
      </c>
      <c r="D16" s="14" t="s">
        <v>21</v>
      </c>
      <c r="E16" s="14" t="s">
        <v>21</v>
      </c>
      <c r="F16" s="16" t="s">
        <v>33</v>
      </c>
      <c r="G16" s="16" t="s">
        <v>36</v>
      </c>
      <c r="H16" s="16" t="s">
        <v>30</v>
      </c>
      <c r="I16" s="16" t="s">
        <v>31</v>
      </c>
    </row>
    <row r="17" customFormat="false" ht="14.25" hidden="false" customHeight="false" outlineLevel="0" collapsed="false">
      <c r="A17" s="5" t="n">
        <v>116</v>
      </c>
      <c r="B17" s="14" t="s">
        <v>29</v>
      </c>
      <c r="C17" s="14" t="n">
        <v>106</v>
      </c>
      <c r="D17" s="14" t="s">
        <v>24</v>
      </c>
      <c r="E17" s="14" t="s">
        <v>23</v>
      </c>
      <c r="F17" s="16" t="s">
        <v>25</v>
      </c>
      <c r="G17" s="16" t="s">
        <v>25</v>
      </c>
      <c r="H17" s="16" t="s">
        <v>25</v>
      </c>
      <c r="I17" s="16" t="s">
        <v>32</v>
      </c>
    </row>
    <row r="18" customFormat="false" ht="14.25" hidden="false" customHeight="false" outlineLevel="0" collapsed="false">
      <c r="A18" s="5" t="n">
        <v>117</v>
      </c>
      <c r="B18" s="14" t="s">
        <v>29</v>
      </c>
      <c r="C18" s="14" t="n">
        <v>106</v>
      </c>
      <c r="D18" s="14" t="s">
        <v>21</v>
      </c>
      <c r="E18" s="14" t="s">
        <v>20</v>
      </c>
      <c r="F18" s="16" t="s">
        <v>25</v>
      </c>
      <c r="G18" s="16" t="s">
        <v>25</v>
      </c>
      <c r="H18" s="16" t="s">
        <v>25</v>
      </c>
      <c r="I18" s="16" t="s">
        <v>32</v>
      </c>
    </row>
    <row r="19" customFormat="false" ht="14.25" hidden="false" customHeight="false" outlineLevel="0" collapsed="false">
      <c r="A19" s="5" t="n">
        <v>118</v>
      </c>
      <c r="B19" s="14" t="s">
        <v>29</v>
      </c>
      <c r="C19" s="14" t="n">
        <v>106</v>
      </c>
      <c r="D19" s="14" t="s">
        <v>24</v>
      </c>
      <c r="E19" s="16" t="s">
        <v>25</v>
      </c>
      <c r="F19" s="16" t="s">
        <v>36</v>
      </c>
      <c r="G19" s="16" t="s">
        <v>32</v>
      </c>
      <c r="H19" s="16" t="s">
        <v>30</v>
      </c>
      <c r="I19" s="16" t="s">
        <v>31</v>
      </c>
    </row>
    <row r="20" customFormat="false" ht="14.25" hidden="false" customHeight="false" outlineLevel="0" collapsed="false">
      <c r="A20" s="5" t="n">
        <v>119</v>
      </c>
      <c r="B20" s="14" t="s">
        <v>29</v>
      </c>
      <c r="C20" s="14" t="n">
        <v>106</v>
      </c>
      <c r="D20" s="14" t="s">
        <v>22</v>
      </c>
      <c r="E20" s="14" t="s">
        <v>20</v>
      </c>
      <c r="F20" s="16" t="s">
        <v>25</v>
      </c>
      <c r="G20" s="16" t="s">
        <v>33</v>
      </c>
      <c r="H20" s="16" t="s">
        <v>30</v>
      </c>
      <c r="I20" s="16" t="s">
        <v>31</v>
      </c>
    </row>
    <row r="21" customFormat="false" ht="14.25" hidden="false" customHeight="false" outlineLevel="0" collapsed="false">
      <c r="A21" s="5" t="n">
        <v>120</v>
      </c>
      <c r="B21" s="14" t="s">
        <v>29</v>
      </c>
      <c r="C21" s="14" t="n">
        <v>75</v>
      </c>
      <c r="D21" s="14" t="s">
        <v>22</v>
      </c>
      <c r="E21" s="14" t="s">
        <v>24</v>
      </c>
      <c r="F21" s="16" t="s">
        <v>25</v>
      </c>
      <c r="G21" s="16" t="s">
        <v>25</v>
      </c>
      <c r="H21" s="16" t="s">
        <v>25</v>
      </c>
      <c r="I21" s="16" t="s">
        <v>36</v>
      </c>
    </row>
    <row r="22" customFormat="false" ht="14.25" hidden="false" customHeight="false" outlineLevel="0" collapsed="false">
      <c r="A22" s="5" t="n">
        <v>121</v>
      </c>
      <c r="B22" s="14" t="s">
        <v>29</v>
      </c>
      <c r="C22" s="14" t="n">
        <v>75</v>
      </c>
      <c r="D22" s="14" t="s">
        <v>24</v>
      </c>
      <c r="E22" s="14" t="s">
        <v>20</v>
      </c>
      <c r="F22" s="16" t="s">
        <v>33</v>
      </c>
      <c r="G22" s="16" t="s">
        <v>32</v>
      </c>
      <c r="H22" s="16" t="s">
        <v>30</v>
      </c>
      <c r="I22" s="16" t="s">
        <v>37</v>
      </c>
    </row>
    <row r="23" customFormat="false" ht="14.25" hidden="false" customHeight="false" outlineLevel="0" collapsed="false">
      <c r="A23" s="5" t="n">
        <v>122</v>
      </c>
      <c r="B23" s="14" t="s">
        <v>29</v>
      </c>
      <c r="C23" s="14" t="n">
        <v>75</v>
      </c>
      <c r="D23" s="14" t="s">
        <v>21</v>
      </c>
      <c r="E23" s="14" t="s">
        <v>23</v>
      </c>
      <c r="F23" s="16" t="s">
        <v>25</v>
      </c>
      <c r="G23" s="16" t="s">
        <v>25</v>
      </c>
      <c r="H23" s="16" t="s">
        <v>25</v>
      </c>
      <c r="I23" s="16" t="s">
        <v>36</v>
      </c>
    </row>
    <row r="24" customFormat="false" ht="14.25" hidden="false" customHeight="false" outlineLevel="0" collapsed="false">
      <c r="A24" s="5" t="n">
        <v>123</v>
      </c>
      <c r="B24" s="14" t="s">
        <v>29</v>
      </c>
      <c r="C24" s="14" t="n">
        <v>75</v>
      </c>
      <c r="D24" s="14" t="s">
        <v>20</v>
      </c>
      <c r="E24" s="14" t="s">
        <v>20</v>
      </c>
      <c r="F24" s="16" t="s">
        <v>25</v>
      </c>
      <c r="G24" s="16" t="s">
        <v>25</v>
      </c>
      <c r="H24" s="16" t="s">
        <v>25</v>
      </c>
      <c r="I24" s="16" t="s">
        <v>33</v>
      </c>
    </row>
    <row r="25" customFormat="false" ht="14.25" hidden="false" customHeight="false" outlineLevel="0" collapsed="false">
      <c r="A25" s="5" t="n">
        <v>124</v>
      </c>
      <c r="B25" s="14" t="s">
        <v>29</v>
      </c>
      <c r="C25" s="14" t="n">
        <v>75</v>
      </c>
      <c r="D25" s="14" t="s">
        <v>21</v>
      </c>
      <c r="E25" s="14" t="s">
        <v>20</v>
      </c>
      <c r="F25" s="14" t="s">
        <v>23</v>
      </c>
      <c r="G25" s="16" t="s">
        <v>25</v>
      </c>
      <c r="H25" s="15" t="s">
        <v>10</v>
      </c>
      <c r="I25" s="15" t="s">
        <v>10</v>
      </c>
    </row>
    <row r="26" customFormat="false" ht="14.25" hidden="false" customHeight="false" outlineLevel="0" collapsed="false">
      <c r="A26" s="5" t="n">
        <v>125</v>
      </c>
      <c r="B26" s="14" t="s">
        <v>29</v>
      </c>
      <c r="C26" s="14" t="n">
        <v>75</v>
      </c>
      <c r="D26" s="14" t="s">
        <v>24</v>
      </c>
      <c r="E26" s="14" t="s">
        <v>20</v>
      </c>
      <c r="F26" s="16" t="s">
        <v>25</v>
      </c>
      <c r="G26" s="16" t="s">
        <v>25</v>
      </c>
      <c r="H26" s="16" t="s">
        <v>36</v>
      </c>
      <c r="I26" s="16" t="s">
        <v>31</v>
      </c>
    </row>
    <row r="27" customFormat="false" ht="14.25" hidden="false" customHeight="false" outlineLevel="0" collapsed="false">
      <c r="A27" s="5" t="n">
        <v>126</v>
      </c>
      <c r="B27" s="14" t="s">
        <v>29</v>
      </c>
      <c r="C27" s="14" t="n">
        <v>84</v>
      </c>
      <c r="D27" s="14" t="s">
        <v>21</v>
      </c>
      <c r="E27" s="14" t="s">
        <v>21</v>
      </c>
      <c r="F27" s="14" t="s">
        <v>21</v>
      </c>
      <c r="G27" s="16" t="s">
        <v>25</v>
      </c>
      <c r="H27" s="15" t="s">
        <v>10</v>
      </c>
      <c r="I27" s="15" t="s">
        <v>10</v>
      </c>
    </row>
    <row r="28" customFormat="false" ht="14.25" hidden="false" customHeight="false" outlineLevel="0" collapsed="false">
      <c r="A28" s="5" t="n">
        <v>127</v>
      </c>
      <c r="B28" s="14" t="s">
        <v>29</v>
      </c>
      <c r="C28" s="14" t="n">
        <v>84</v>
      </c>
      <c r="D28" s="14" t="s">
        <v>24</v>
      </c>
      <c r="E28" s="16" t="s">
        <v>25</v>
      </c>
      <c r="F28" s="16" t="s">
        <v>33</v>
      </c>
      <c r="G28" s="16" t="s">
        <v>33</v>
      </c>
      <c r="H28" s="16" t="s">
        <v>36</v>
      </c>
      <c r="I28" s="16" t="s">
        <v>31</v>
      </c>
    </row>
    <row r="29" customFormat="false" ht="14.25" hidden="false" customHeight="false" outlineLevel="0" collapsed="false">
      <c r="A29" s="5" t="n">
        <v>128</v>
      </c>
      <c r="B29" s="14" t="s">
        <v>29</v>
      </c>
      <c r="C29" s="14" t="n">
        <v>84</v>
      </c>
      <c r="D29" s="14" t="s">
        <v>21</v>
      </c>
      <c r="E29" s="14" t="s">
        <v>23</v>
      </c>
      <c r="F29" s="14" t="s">
        <v>23</v>
      </c>
      <c r="G29" s="14" t="s">
        <v>20</v>
      </c>
      <c r="H29" s="14" t="s">
        <v>20</v>
      </c>
      <c r="I29" s="16" t="s">
        <v>34</v>
      </c>
    </row>
    <row r="30" customFormat="false" ht="14.25" hidden="false" customHeight="false" outlineLevel="0" collapsed="false">
      <c r="A30" s="5" t="n">
        <v>129</v>
      </c>
      <c r="B30" s="14" t="s">
        <v>29</v>
      </c>
      <c r="C30" s="14" t="n">
        <v>84</v>
      </c>
      <c r="D30" s="14" t="s">
        <v>21</v>
      </c>
      <c r="E30" s="14" t="s">
        <v>20</v>
      </c>
      <c r="F30" s="14" t="s">
        <v>20</v>
      </c>
      <c r="G30" s="14" t="s">
        <v>20</v>
      </c>
      <c r="H30" s="14" t="s">
        <v>20</v>
      </c>
      <c r="I30" s="16" t="s">
        <v>33</v>
      </c>
    </row>
    <row r="31" customFormat="false" ht="14.25" hidden="false" customHeight="false" outlineLevel="0" collapsed="false">
      <c r="A31" s="5" t="n">
        <v>130</v>
      </c>
      <c r="B31" s="14" t="s">
        <v>29</v>
      </c>
      <c r="C31" s="14" t="n">
        <v>84</v>
      </c>
      <c r="D31" s="14" t="s">
        <v>24</v>
      </c>
      <c r="E31" s="14" t="s">
        <v>20</v>
      </c>
      <c r="F31" s="14" t="s">
        <v>20</v>
      </c>
      <c r="G31" s="14" t="s">
        <v>20</v>
      </c>
      <c r="H31" s="14" t="s">
        <v>20</v>
      </c>
      <c r="I31" s="16" t="s">
        <v>36</v>
      </c>
    </row>
    <row r="32" customFormat="false" ht="14.25" hidden="false" customHeight="false" outlineLevel="0" collapsed="false">
      <c r="A32" s="5" t="n">
        <v>131</v>
      </c>
      <c r="B32" s="14" t="s">
        <v>29</v>
      </c>
      <c r="C32" s="14" t="n">
        <v>84</v>
      </c>
      <c r="D32" s="14" t="s">
        <v>21</v>
      </c>
      <c r="E32" s="14" t="s">
        <v>20</v>
      </c>
      <c r="F32" s="14" t="s">
        <v>20</v>
      </c>
      <c r="G32" s="16" t="s">
        <v>25</v>
      </c>
      <c r="H32" s="16" t="s">
        <v>25</v>
      </c>
      <c r="I32" s="16" t="s">
        <v>32</v>
      </c>
    </row>
    <row r="33" customFormat="false" ht="14.25" hidden="false" customHeight="false" outlineLevel="0" collapsed="false">
      <c r="A33" s="5" t="n">
        <v>132</v>
      </c>
      <c r="B33" s="14" t="s">
        <v>29</v>
      </c>
      <c r="C33" s="14" t="n">
        <v>84</v>
      </c>
      <c r="D33" s="14" t="s">
        <v>22</v>
      </c>
      <c r="E33" s="14" t="s">
        <v>23</v>
      </c>
      <c r="F33" s="16" t="s">
        <v>25</v>
      </c>
      <c r="G33" s="16" t="s">
        <v>25</v>
      </c>
      <c r="H33" s="16" t="s">
        <v>25</v>
      </c>
      <c r="I33" s="16" t="s">
        <v>36</v>
      </c>
    </row>
    <row r="34" customFormat="false" ht="14.25" hidden="false" customHeight="false" outlineLevel="0" collapsed="false">
      <c r="A34" s="5" t="n">
        <v>133</v>
      </c>
      <c r="B34" s="14" t="s">
        <v>29</v>
      </c>
      <c r="C34" s="14" t="n">
        <v>84</v>
      </c>
      <c r="D34" s="14" t="s">
        <v>22</v>
      </c>
      <c r="E34" s="14" t="s">
        <v>21</v>
      </c>
      <c r="F34" s="14" t="s">
        <v>24</v>
      </c>
      <c r="G34" s="14" t="s">
        <v>23</v>
      </c>
      <c r="H34" s="14" t="s">
        <v>20</v>
      </c>
      <c r="I34" s="16" t="s">
        <v>32</v>
      </c>
    </row>
    <row r="35" customFormat="false" ht="14.25" hidden="false" customHeight="false" outlineLevel="0" collapsed="false">
      <c r="A35" s="5" t="n">
        <v>134</v>
      </c>
      <c r="B35" s="14" t="s">
        <v>29</v>
      </c>
      <c r="C35" s="14" t="n">
        <v>84</v>
      </c>
      <c r="D35" s="14" t="s">
        <v>24</v>
      </c>
      <c r="E35" s="16" t="s">
        <v>25</v>
      </c>
      <c r="F35" s="16" t="s">
        <v>33</v>
      </c>
      <c r="G35" s="16" t="s">
        <v>36</v>
      </c>
      <c r="H35" s="16" t="s">
        <v>32</v>
      </c>
      <c r="I35" s="16" t="s">
        <v>31</v>
      </c>
    </row>
    <row r="36" customFormat="false" ht="14.25" hidden="false" customHeight="false" outlineLevel="0" collapsed="false">
      <c r="A36" s="5" t="n">
        <v>135</v>
      </c>
      <c r="B36" s="14" t="s">
        <v>29</v>
      </c>
      <c r="C36" s="14" t="n">
        <v>84</v>
      </c>
      <c r="D36" s="14" t="s">
        <v>22</v>
      </c>
      <c r="E36" s="14" t="s">
        <v>24</v>
      </c>
      <c r="F36" s="14" t="s">
        <v>24</v>
      </c>
      <c r="G36" s="14" t="s">
        <v>23</v>
      </c>
      <c r="H36" s="14" t="s">
        <v>20</v>
      </c>
      <c r="I36" s="16" t="s">
        <v>32</v>
      </c>
      <c r="J36" s="17"/>
    </row>
    <row r="37" customFormat="false" ht="14.25" hidden="false" customHeight="false" outlineLevel="0" collapsed="false">
      <c r="A37" s="5" t="n">
        <v>136</v>
      </c>
      <c r="B37" s="14" t="s">
        <v>29</v>
      </c>
      <c r="C37" s="14" t="n">
        <v>91</v>
      </c>
      <c r="D37" s="14" t="s">
        <v>21</v>
      </c>
      <c r="E37" s="14" t="s">
        <v>23</v>
      </c>
      <c r="F37" s="14" t="s">
        <v>24</v>
      </c>
      <c r="G37" s="14" t="s">
        <v>24</v>
      </c>
      <c r="H37" s="14" t="s">
        <v>24</v>
      </c>
      <c r="I37" s="16" t="s">
        <v>36</v>
      </c>
    </row>
    <row r="38" customFormat="false" ht="14.25" hidden="false" customHeight="false" outlineLevel="0" collapsed="false">
      <c r="A38" s="5" t="n">
        <v>137</v>
      </c>
      <c r="B38" s="14" t="s">
        <v>29</v>
      </c>
      <c r="C38" s="14" t="n">
        <v>91</v>
      </c>
      <c r="D38" s="14" t="s">
        <v>22</v>
      </c>
      <c r="E38" s="14" t="s">
        <v>24</v>
      </c>
      <c r="F38" s="14" t="s">
        <v>21</v>
      </c>
      <c r="G38" s="14" t="s">
        <v>23</v>
      </c>
      <c r="H38" s="14" t="s">
        <v>20</v>
      </c>
      <c r="I38" s="16" t="s">
        <v>34</v>
      </c>
    </row>
    <row r="39" customFormat="false" ht="14.25" hidden="false" customHeight="false" outlineLevel="0" collapsed="false">
      <c r="A39" s="5" t="n">
        <v>138</v>
      </c>
      <c r="B39" s="14" t="s">
        <v>29</v>
      </c>
      <c r="C39" s="14" t="n">
        <v>91</v>
      </c>
      <c r="D39" s="14" t="s">
        <v>21</v>
      </c>
      <c r="E39" s="14" t="s">
        <v>23</v>
      </c>
      <c r="F39" s="14" t="s">
        <v>24</v>
      </c>
      <c r="G39" s="14" t="s">
        <v>23</v>
      </c>
      <c r="H39" s="14" t="s">
        <v>20</v>
      </c>
      <c r="I39" s="16" t="s">
        <v>33</v>
      </c>
    </row>
    <row r="40" customFormat="false" ht="14.25" hidden="false" customHeight="false" outlineLevel="0" collapsed="false">
      <c r="A40" s="5" t="n">
        <v>139</v>
      </c>
      <c r="B40" s="14" t="s">
        <v>29</v>
      </c>
      <c r="C40" s="14" t="n">
        <v>91</v>
      </c>
      <c r="D40" s="14" t="s">
        <v>21</v>
      </c>
      <c r="E40" s="14" t="s">
        <v>23</v>
      </c>
      <c r="F40" s="16" t="s">
        <v>25</v>
      </c>
      <c r="G40" s="16" t="s">
        <v>25</v>
      </c>
      <c r="H40" s="16" t="s">
        <v>25</v>
      </c>
      <c r="I40" s="16" t="s">
        <v>36</v>
      </c>
    </row>
    <row r="41" customFormat="false" ht="14.25" hidden="false" customHeight="false" outlineLevel="0" collapsed="false">
      <c r="A41" s="5" t="n">
        <v>140</v>
      </c>
      <c r="B41" s="14" t="s">
        <v>29</v>
      </c>
      <c r="C41" s="14" t="n">
        <v>91</v>
      </c>
      <c r="D41" s="14" t="s">
        <v>21</v>
      </c>
      <c r="E41" s="14" t="s">
        <v>23</v>
      </c>
      <c r="F41" s="14" t="s">
        <v>23</v>
      </c>
      <c r="G41" s="14" t="s">
        <v>20</v>
      </c>
      <c r="H41" s="16" t="s">
        <v>33</v>
      </c>
      <c r="I41" s="16" t="s">
        <v>31</v>
      </c>
    </row>
    <row r="42" customFormat="false" ht="14.25" hidden="false" customHeight="false" outlineLevel="0" collapsed="false">
      <c r="A42" s="5" t="n">
        <v>141</v>
      </c>
      <c r="B42" s="14" t="s">
        <v>29</v>
      </c>
      <c r="C42" s="14" t="n">
        <v>91</v>
      </c>
      <c r="D42" s="14" t="s">
        <v>24</v>
      </c>
      <c r="E42" s="14" t="s">
        <v>20</v>
      </c>
      <c r="F42" s="16" t="s">
        <v>25</v>
      </c>
      <c r="G42" s="16" t="s">
        <v>25</v>
      </c>
      <c r="H42" s="16" t="s">
        <v>25</v>
      </c>
      <c r="I42" s="16" t="s">
        <v>32</v>
      </c>
    </row>
    <row r="43" customFormat="false" ht="14.25" hidden="false" customHeight="false" outlineLevel="0" collapsed="false">
      <c r="A43" s="5" t="n">
        <v>142</v>
      </c>
      <c r="B43" s="14" t="s">
        <v>29</v>
      </c>
      <c r="C43" s="14" t="n">
        <v>91</v>
      </c>
      <c r="D43" s="14" t="s">
        <v>24</v>
      </c>
      <c r="E43" s="14" t="s">
        <v>20</v>
      </c>
      <c r="F43" s="16" t="s">
        <v>25</v>
      </c>
      <c r="G43" s="16" t="s">
        <v>33</v>
      </c>
      <c r="H43" s="16" t="s">
        <v>36</v>
      </c>
      <c r="I43" s="16" t="s">
        <v>36</v>
      </c>
    </row>
    <row r="44" customFormat="false" ht="14.25" hidden="false" customHeight="false" outlineLevel="0" collapsed="false">
      <c r="A44" s="5" t="n">
        <v>143</v>
      </c>
      <c r="B44" s="14" t="s">
        <v>29</v>
      </c>
      <c r="C44" s="14" t="n">
        <v>91</v>
      </c>
      <c r="D44" s="14" t="s">
        <v>24</v>
      </c>
      <c r="E44" s="14" t="s">
        <v>20</v>
      </c>
      <c r="F44" s="16" t="s">
        <v>25</v>
      </c>
      <c r="G44" s="16" t="s">
        <v>25</v>
      </c>
      <c r="H44" s="16" t="s">
        <v>25</v>
      </c>
      <c r="I44" s="16" t="s">
        <v>32</v>
      </c>
    </row>
    <row r="45" customFormat="false" ht="14.25" hidden="false" customHeight="false" outlineLevel="0" collapsed="false">
      <c r="A45" s="5" t="n">
        <v>144</v>
      </c>
      <c r="B45" s="14" t="s">
        <v>29</v>
      </c>
      <c r="C45" s="14" t="n">
        <v>94</v>
      </c>
      <c r="D45" s="14" t="s">
        <v>21</v>
      </c>
      <c r="E45" s="14" t="s">
        <v>24</v>
      </c>
      <c r="F45" s="14" t="s">
        <v>24</v>
      </c>
      <c r="G45" s="14" t="s">
        <v>23</v>
      </c>
      <c r="H45" s="14" t="s">
        <v>20</v>
      </c>
      <c r="I45" s="16" t="s">
        <v>30</v>
      </c>
    </row>
    <row r="46" customFormat="false" ht="14.25" hidden="false" customHeight="false" outlineLevel="0" collapsed="false">
      <c r="A46" s="5" t="n">
        <v>145</v>
      </c>
      <c r="B46" s="14" t="s">
        <v>29</v>
      </c>
      <c r="C46" s="14" t="n">
        <v>94</v>
      </c>
      <c r="D46" s="14" t="s">
        <v>21</v>
      </c>
      <c r="E46" s="14" t="s">
        <v>23</v>
      </c>
      <c r="F46" s="16" t="s">
        <v>25</v>
      </c>
      <c r="G46" s="16" t="s">
        <v>25</v>
      </c>
      <c r="H46" s="16" t="s">
        <v>25</v>
      </c>
      <c r="I46" s="16" t="s">
        <v>30</v>
      </c>
    </row>
    <row r="47" customFormat="false" ht="14.25" hidden="false" customHeight="false" outlineLevel="0" collapsed="false">
      <c r="A47" s="5" t="n">
        <v>146</v>
      </c>
      <c r="B47" s="14" t="s">
        <v>29</v>
      </c>
      <c r="C47" s="14" t="n">
        <v>94</v>
      </c>
      <c r="D47" s="14" t="s">
        <v>24</v>
      </c>
      <c r="E47" s="14" t="s">
        <v>23</v>
      </c>
      <c r="F47" s="16" t="s">
        <v>25</v>
      </c>
      <c r="G47" s="16" t="s">
        <v>25</v>
      </c>
      <c r="H47" s="16" t="s">
        <v>25</v>
      </c>
      <c r="I47" s="16" t="s">
        <v>32</v>
      </c>
    </row>
    <row r="48" customFormat="false" ht="14.25" hidden="false" customHeight="false" outlineLevel="0" collapsed="false">
      <c r="A48" s="5" t="n">
        <v>147</v>
      </c>
      <c r="B48" s="14" t="s">
        <v>29</v>
      </c>
      <c r="C48" s="14" t="n">
        <v>94</v>
      </c>
      <c r="D48" s="14" t="s">
        <v>21</v>
      </c>
      <c r="E48" s="14" t="s">
        <v>24</v>
      </c>
      <c r="F48" s="14" t="s">
        <v>23</v>
      </c>
      <c r="G48" s="14" t="s">
        <v>20</v>
      </c>
      <c r="H48" s="14" t="s">
        <v>20</v>
      </c>
      <c r="I48" s="16" t="s">
        <v>32</v>
      </c>
    </row>
    <row r="49" customFormat="false" ht="14.25" hidden="false" customHeight="false" outlineLevel="0" collapsed="false">
      <c r="A49" s="5" t="n">
        <v>148</v>
      </c>
      <c r="B49" s="14" t="s">
        <v>29</v>
      </c>
      <c r="C49" s="14" t="n">
        <v>94</v>
      </c>
      <c r="D49" s="14" t="s">
        <v>21</v>
      </c>
      <c r="E49" s="14" t="s">
        <v>20</v>
      </c>
      <c r="F49" s="16" t="s">
        <v>25</v>
      </c>
      <c r="G49" s="16" t="s">
        <v>25</v>
      </c>
      <c r="H49" s="16" t="s">
        <v>32</v>
      </c>
      <c r="I49" s="16" t="s">
        <v>31</v>
      </c>
    </row>
    <row r="50" customFormat="false" ht="14.25" hidden="false" customHeight="false" outlineLevel="0" collapsed="false">
      <c r="A50" s="5" t="n">
        <v>149</v>
      </c>
      <c r="B50" s="14" t="s">
        <v>29</v>
      </c>
      <c r="C50" s="14" t="n">
        <v>94</v>
      </c>
      <c r="D50" s="14" t="s">
        <v>21</v>
      </c>
      <c r="E50" s="14" t="s">
        <v>23</v>
      </c>
      <c r="F50" s="14" t="s">
        <v>20</v>
      </c>
      <c r="G50" s="14" t="s">
        <v>20</v>
      </c>
      <c r="H50" s="14" t="s">
        <v>20</v>
      </c>
      <c r="I50" s="16" t="s">
        <v>36</v>
      </c>
    </row>
    <row r="51" customFormat="false" ht="14.25" hidden="false" customHeight="false" outlineLevel="0" collapsed="false">
      <c r="A51" s="5" t="n">
        <v>150</v>
      </c>
      <c r="B51" s="14" t="s">
        <v>29</v>
      </c>
      <c r="C51" s="14" t="n">
        <v>94</v>
      </c>
      <c r="D51" s="14" t="s">
        <v>22</v>
      </c>
      <c r="E51" s="14" t="s">
        <v>24</v>
      </c>
      <c r="F51" s="14" t="s">
        <v>23</v>
      </c>
      <c r="G51" s="14" t="s">
        <v>20</v>
      </c>
      <c r="H51" s="14" t="s">
        <v>20</v>
      </c>
      <c r="I51" s="16" t="s">
        <v>33</v>
      </c>
    </row>
    <row r="54" customFormat="false" ht="14.25" hidden="false" customHeight="false" outlineLevel="0" collapsed="false">
      <c r="C54" s="0" t="s">
        <v>12</v>
      </c>
      <c r="D54" s="0" t="s">
        <v>13</v>
      </c>
      <c r="E54" s="0" t="s">
        <v>14</v>
      </c>
      <c r="F54" s="0" t="s">
        <v>15</v>
      </c>
      <c r="G54" s="0" t="s">
        <v>16</v>
      </c>
      <c r="H54" s="0" t="s">
        <v>17</v>
      </c>
    </row>
    <row r="55" customFormat="false" ht="14.25" hidden="false" customHeight="false" outlineLevel="0" collapsed="false">
      <c r="C55" s="0" t="n">
        <v>0</v>
      </c>
      <c r="D55" s="0" t="n">
        <v>5</v>
      </c>
      <c r="E55" s="0" t="n">
        <v>12</v>
      </c>
      <c r="F55" s="0" t="n">
        <v>4</v>
      </c>
      <c r="G55" s="0" t="n">
        <v>1</v>
      </c>
      <c r="H55" s="0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24" activeCellId="0" sqref="C24"/>
    </sheetView>
  </sheetViews>
  <sheetFormatPr defaultColWidth="10.7304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3</v>
      </c>
      <c r="D1" s="4" t="n">
        <v>46248</v>
      </c>
      <c r="E1" s="4" t="n">
        <v>46249</v>
      </c>
      <c r="F1" s="4" t="n">
        <v>46250</v>
      </c>
      <c r="G1" s="4" t="n">
        <v>46251</v>
      </c>
      <c r="H1" s="4" t="n">
        <v>46252</v>
      </c>
      <c r="I1" s="4" t="n">
        <v>46253</v>
      </c>
    </row>
    <row r="2" customFormat="false" ht="14.25" hidden="false" customHeight="false" outlineLevel="0" collapsed="false">
      <c r="A2" s="5" t="n">
        <v>151</v>
      </c>
      <c r="B2" s="14" t="s">
        <v>38</v>
      </c>
      <c r="C2" s="14" t="n">
        <v>75</v>
      </c>
      <c r="D2" s="14" t="s">
        <v>25</v>
      </c>
      <c r="E2" s="14" t="s">
        <v>33</v>
      </c>
      <c r="F2" s="14" t="s">
        <v>36</v>
      </c>
      <c r="G2" s="14" t="s">
        <v>36</v>
      </c>
      <c r="H2" s="16" t="s">
        <v>31</v>
      </c>
      <c r="I2" s="16" t="s">
        <v>31</v>
      </c>
    </row>
    <row r="3" customFormat="false" ht="14.25" hidden="false" customHeight="false" outlineLevel="0" collapsed="false">
      <c r="A3" s="5" t="n">
        <v>152</v>
      </c>
      <c r="B3" s="14" t="s">
        <v>38</v>
      </c>
      <c r="C3" s="14" t="n">
        <v>75</v>
      </c>
      <c r="D3" s="14" t="s">
        <v>25</v>
      </c>
      <c r="E3" s="14" t="s">
        <v>39</v>
      </c>
      <c r="F3" s="14" t="s">
        <v>36</v>
      </c>
      <c r="G3" s="14" t="s">
        <v>36</v>
      </c>
      <c r="H3" s="16" t="s">
        <v>31</v>
      </c>
      <c r="I3" s="16" t="s">
        <v>31</v>
      </c>
    </row>
    <row r="4" customFormat="false" ht="14.25" hidden="false" customHeight="false" outlineLevel="0" collapsed="false">
      <c r="A4" s="5" t="n">
        <v>153</v>
      </c>
      <c r="B4" s="14" t="s">
        <v>38</v>
      </c>
      <c r="C4" s="14" t="n">
        <v>75</v>
      </c>
      <c r="D4" s="14" t="s">
        <v>25</v>
      </c>
      <c r="E4" s="14" t="s">
        <v>39</v>
      </c>
      <c r="F4" s="14" t="s">
        <v>30</v>
      </c>
      <c r="G4" s="16" t="s">
        <v>31</v>
      </c>
      <c r="H4" s="16" t="s">
        <v>31</v>
      </c>
      <c r="I4" s="16" t="s">
        <v>31</v>
      </c>
    </row>
    <row r="5" customFormat="false" ht="14.25" hidden="false" customHeight="false" outlineLevel="0" collapsed="false">
      <c r="A5" s="5" t="n">
        <v>154</v>
      </c>
      <c r="B5" s="14" t="s">
        <v>38</v>
      </c>
      <c r="C5" s="14" t="n">
        <v>75</v>
      </c>
      <c r="D5" s="14" t="s">
        <v>25</v>
      </c>
      <c r="E5" s="14" t="s">
        <v>33</v>
      </c>
      <c r="F5" s="14" t="s">
        <v>33</v>
      </c>
      <c r="G5" s="14" t="s">
        <v>36</v>
      </c>
      <c r="H5" s="16" t="s">
        <v>31</v>
      </c>
      <c r="I5" s="16" t="s">
        <v>31</v>
      </c>
    </row>
    <row r="6" customFormat="false" ht="14.25" hidden="false" customHeight="false" outlineLevel="0" collapsed="false">
      <c r="A6" s="5" t="n">
        <v>155</v>
      </c>
      <c r="B6" s="14" t="s">
        <v>38</v>
      </c>
      <c r="C6" s="14" t="n">
        <v>75</v>
      </c>
      <c r="D6" s="14" t="s">
        <v>25</v>
      </c>
      <c r="E6" s="14" t="s">
        <v>33</v>
      </c>
      <c r="F6" s="14" t="s">
        <v>39</v>
      </c>
      <c r="G6" s="16" t="s">
        <v>31</v>
      </c>
      <c r="H6" s="16" t="s">
        <v>31</v>
      </c>
      <c r="I6" s="16" t="s">
        <v>31</v>
      </c>
    </row>
    <row r="7" customFormat="false" ht="14.25" hidden="false" customHeight="false" outlineLevel="0" collapsed="false">
      <c r="A7" s="5" t="n">
        <v>156</v>
      </c>
      <c r="B7" s="14" t="s">
        <v>38</v>
      </c>
      <c r="C7" s="14" t="n">
        <v>75</v>
      </c>
      <c r="D7" s="14" t="s">
        <v>25</v>
      </c>
      <c r="E7" s="14" t="s">
        <v>25</v>
      </c>
      <c r="F7" s="14" t="s">
        <v>33</v>
      </c>
      <c r="G7" s="14" t="s">
        <v>36</v>
      </c>
      <c r="H7" s="16" t="s">
        <v>31</v>
      </c>
      <c r="I7" s="16" t="s">
        <v>31</v>
      </c>
    </row>
    <row r="8" customFormat="false" ht="14.25" hidden="false" customHeight="false" outlineLevel="0" collapsed="false">
      <c r="A8" s="5" t="n">
        <v>157</v>
      </c>
      <c r="B8" s="14" t="s">
        <v>38</v>
      </c>
      <c r="C8" s="14" t="n">
        <v>133</v>
      </c>
      <c r="D8" s="14" t="s">
        <v>25</v>
      </c>
      <c r="E8" s="14" t="s">
        <v>25</v>
      </c>
      <c r="F8" s="14" t="s">
        <v>36</v>
      </c>
      <c r="G8" s="14" t="s">
        <v>30</v>
      </c>
      <c r="H8" s="16" t="s">
        <v>31</v>
      </c>
      <c r="I8" s="16" t="s">
        <v>31</v>
      </c>
    </row>
    <row r="9" customFormat="false" ht="14.25" hidden="false" customHeight="false" outlineLevel="0" collapsed="false">
      <c r="A9" s="5" t="n">
        <v>158</v>
      </c>
      <c r="B9" s="14" t="s">
        <v>38</v>
      </c>
      <c r="C9" s="14" t="n">
        <v>133</v>
      </c>
      <c r="D9" s="14" t="s">
        <v>25</v>
      </c>
      <c r="E9" s="14" t="s">
        <v>33</v>
      </c>
      <c r="F9" s="14" t="s">
        <v>36</v>
      </c>
      <c r="G9" s="16" t="s">
        <v>31</v>
      </c>
      <c r="H9" s="16" t="s">
        <v>31</v>
      </c>
      <c r="I9" s="16" t="s">
        <v>31</v>
      </c>
    </row>
    <row r="10" customFormat="false" ht="14.25" hidden="false" customHeight="false" outlineLevel="0" collapsed="false">
      <c r="A10" s="5" t="n">
        <v>159</v>
      </c>
      <c r="B10" s="14" t="s">
        <v>38</v>
      </c>
      <c r="C10" s="14" t="n">
        <v>133</v>
      </c>
      <c r="D10" s="14" t="s">
        <v>25</v>
      </c>
      <c r="E10" s="14" t="s">
        <v>33</v>
      </c>
      <c r="F10" s="14" t="s">
        <v>39</v>
      </c>
      <c r="G10" s="16" t="s">
        <v>31</v>
      </c>
      <c r="H10" s="16" t="s">
        <v>31</v>
      </c>
      <c r="I10" s="16" t="s">
        <v>31</v>
      </c>
    </row>
    <row r="11" customFormat="false" ht="14.25" hidden="false" customHeight="false" outlineLevel="0" collapsed="false">
      <c r="A11" s="5" t="n">
        <v>160</v>
      </c>
      <c r="B11" s="14" t="s">
        <v>38</v>
      </c>
      <c r="C11" s="14" t="n">
        <v>133</v>
      </c>
      <c r="D11" s="14" t="s">
        <v>25</v>
      </c>
      <c r="E11" s="14" t="s">
        <v>33</v>
      </c>
      <c r="F11" s="14" t="s">
        <v>33</v>
      </c>
      <c r="G11" s="14" t="s">
        <v>30</v>
      </c>
      <c r="H11" s="16" t="s">
        <v>31</v>
      </c>
      <c r="I11" s="16" t="s">
        <v>31</v>
      </c>
    </row>
    <row r="12" customFormat="false" ht="14.25" hidden="false" customHeight="false" outlineLevel="0" collapsed="false">
      <c r="A12" s="5" t="n">
        <v>161</v>
      </c>
      <c r="B12" s="14" t="s">
        <v>38</v>
      </c>
      <c r="C12" s="14" t="n">
        <v>133</v>
      </c>
      <c r="D12" s="14" t="s">
        <v>25</v>
      </c>
      <c r="E12" s="14" t="s">
        <v>25</v>
      </c>
      <c r="F12" s="14" t="s">
        <v>39</v>
      </c>
      <c r="G12" s="14" t="s">
        <v>40</v>
      </c>
      <c r="H12" s="14" t="s">
        <v>40</v>
      </c>
      <c r="I12" s="16" t="s">
        <v>31</v>
      </c>
    </row>
    <row r="13" customFormat="false" ht="14.25" hidden="false" customHeight="false" outlineLevel="0" collapsed="false">
      <c r="A13" s="5" t="n">
        <v>162</v>
      </c>
      <c r="B13" s="14" t="s">
        <v>38</v>
      </c>
      <c r="C13" s="14" t="n">
        <v>133</v>
      </c>
      <c r="D13" s="14" t="s">
        <v>25</v>
      </c>
      <c r="E13" s="14" t="s">
        <v>25</v>
      </c>
      <c r="F13" s="14" t="s">
        <v>33</v>
      </c>
      <c r="G13" s="14" t="s">
        <v>36</v>
      </c>
      <c r="H13" s="14" t="s">
        <v>32</v>
      </c>
      <c r="I13" s="16" t="s">
        <v>31</v>
      </c>
    </row>
    <row r="14" customFormat="false" ht="14.25" hidden="false" customHeight="false" outlineLevel="0" collapsed="false">
      <c r="A14" s="5" t="n">
        <v>163</v>
      </c>
      <c r="B14" s="14" t="s">
        <v>38</v>
      </c>
      <c r="C14" s="14" t="n">
        <v>124</v>
      </c>
      <c r="D14" s="14" t="s">
        <v>25</v>
      </c>
      <c r="E14" s="14" t="s">
        <v>25</v>
      </c>
      <c r="F14" s="14" t="s">
        <v>36</v>
      </c>
      <c r="G14" s="14" t="s">
        <v>39</v>
      </c>
      <c r="H14" s="16" t="s">
        <v>31</v>
      </c>
      <c r="I14" s="16" t="s">
        <v>31</v>
      </c>
    </row>
    <row r="15" customFormat="false" ht="14.25" hidden="false" customHeight="false" outlineLevel="0" collapsed="false">
      <c r="A15" s="5" t="n">
        <v>164</v>
      </c>
      <c r="B15" s="14" t="s">
        <v>38</v>
      </c>
      <c r="C15" s="14" t="n">
        <v>124</v>
      </c>
      <c r="D15" s="14" t="s">
        <v>25</v>
      </c>
      <c r="E15" s="14" t="s">
        <v>25</v>
      </c>
      <c r="F15" s="14" t="s">
        <v>33</v>
      </c>
      <c r="G15" s="14" t="s">
        <v>41</v>
      </c>
      <c r="H15" s="16" t="s">
        <v>31</v>
      </c>
      <c r="I15" s="16" t="s">
        <v>31</v>
      </c>
    </row>
    <row r="16" customFormat="false" ht="14.25" hidden="false" customHeight="false" outlineLevel="0" collapsed="false">
      <c r="A16" s="5" t="n">
        <v>165</v>
      </c>
      <c r="B16" s="14" t="s">
        <v>38</v>
      </c>
      <c r="C16" s="14" t="n">
        <v>124</v>
      </c>
      <c r="D16" s="14" t="s">
        <v>25</v>
      </c>
      <c r="E16" s="14" t="s">
        <v>25</v>
      </c>
      <c r="F16" s="14" t="s">
        <v>36</v>
      </c>
      <c r="G16" s="14" t="s">
        <v>36</v>
      </c>
      <c r="H16" s="16" t="s">
        <v>31</v>
      </c>
      <c r="I16" s="16" t="s">
        <v>31</v>
      </c>
    </row>
    <row r="17" customFormat="false" ht="14.25" hidden="false" customHeight="false" outlineLevel="0" collapsed="false">
      <c r="A17" s="5" t="n">
        <v>166</v>
      </c>
      <c r="B17" s="14" t="s">
        <v>38</v>
      </c>
      <c r="C17" s="14" t="n">
        <v>124</v>
      </c>
      <c r="D17" s="14" t="s">
        <v>25</v>
      </c>
      <c r="E17" s="14" t="s">
        <v>25</v>
      </c>
      <c r="F17" s="14" t="s">
        <v>33</v>
      </c>
      <c r="G17" s="14" t="s">
        <v>39</v>
      </c>
      <c r="H17" s="16" t="s">
        <v>31</v>
      </c>
      <c r="I17" s="16" t="s">
        <v>31</v>
      </c>
    </row>
    <row r="18" customFormat="false" ht="14.25" hidden="false" customHeight="false" outlineLevel="0" collapsed="false">
      <c r="A18" s="5" t="n">
        <v>167</v>
      </c>
      <c r="B18" s="14" t="s">
        <v>38</v>
      </c>
      <c r="C18" s="14" t="n">
        <v>109</v>
      </c>
      <c r="D18" s="14" t="s">
        <v>25</v>
      </c>
      <c r="E18" s="14" t="s">
        <v>33</v>
      </c>
      <c r="F18" s="14" t="s">
        <v>39</v>
      </c>
      <c r="G18" s="14" t="s">
        <v>40</v>
      </c>
      <c r="H18" s="16" t="s">
        <v>31</v>
      </c>
      <c r="I18" s="16" t="s">
        <v>31</v>
      </c>
    </row>
    <row r="19" customFormat="false" ht="14.25" hidden="false" customHeight="false" outlineLevel="0" collapsed="false">
      <c r="A19" s="5" t="n">
        <v>168</v>
      </c>
      <c r="B19" s="14" t="s">
        <v>38</v>
      </c>
      <c r="C19" s="14" t="n">
        <v>109</v>
      </c>
      <c r="D19" s="14" t="s">
        <v>25</v>
      </c>
      <c r="E19" s="14" t="s">
        <v>25</v>
      </c>
      <c r="F19" s="14" t="s">
        <v>36</v>
      </c>
      <c r="G19" s="14" t="s">
        <v>36</v>
      </c>
      <c r="H19" s="16" t="s">
        <v>31</v>
      </c>
      <c r="I19" s="16" t="s">
        <v>31</v>
      </c>
    </row>
    <row r="20" customFormat="false" ht="14.25" hidden="false" customHeight="false" outlineLevel="0" collapsed="false">
      <c r="A20" s="5" t="n">
        <v>169</v>
      </c>
      <c r="B20" s="14" t="s">
        <v>38</v>
      </c>
      <c r="C20" s="14" t="n">
        <v>109</v>
      </c>
      <c r="D20" s="14" t="s">
        <v>25</v>
      </c>
      <c r="E20" s="14" t="s">
        <v>25</v>
      </c>
      <c r="F20" s="14" t="s">
        <v>36</v>
      </c>
      <c r="G20" s="14" t="s">
        <v>39</v>
      </c>
      <c r="H20" s="16" t="s">
        <v>31</v>
      </c>
      <c r="I20" s="16" t="s">
        <v>31</v>
      </c>
    </row>
    <row r="21" customFormat="false" ht="14.25" hidden="false" customHeight="false" outlineLevel="0" collapsed="false">
      <c r="A21" s="5" t="n">
        <v>170</v>
      </c>
      <c r="B21" s="14" t="s">
        <v>38</v>
      </c>
      <c r="C21" s="14" t="n">
        <v>109</v>
      </c>
      <c r="D21" s="14" t="s">
        <v>25</v>
      </c>
      <c r="E21" s="14" t="s">
        <v>25</v>
      </c>
      <c r="F21" s="14" t="s">
        <v>33</v>
      </c>
      <c r="G21" s="14" t="s">
        <v>40</v>
      </c>
      <c r="H21" s="16" t="s">
        <v>31</v>
      </c>
      <c r="I21" s="16" t="s">
        <v>31</v>
      </c>
    </row>
    <row r="22" customFormat="false" ht="14.25" hidden="false" customHeight="false" outlineLevel="0" collapsed="false">
      <c r="A22" s="5" t="n">
        <v>171</v>
      </c>
      <c r="B22" s="14" t="s">
        <v>38</v>
      </c>
      <c r="C22" s="14" t="n">
        <v>109</v>
      </c>
      <c r="D22" s="14" t="s">
        <v>25</v>
      </c>
      <c r="E22" s="14" t="s">
        <v>25</v>
      </c>
      <c r="F22" s="14" t="s">
        <v>33</v>
      </c>
      <c r="G22" s="14" t="s">
        <v>36</v>
      </c>
      <c r="H22" s="14" t="s">
        <v>40</v>
      </c>
      <c r="I22" s="16" t="s">
        <v>31</v>
      </c>
    </row>
    <row r="23" customFormat="false" ht="14.25" hidden="false" customHeight="false" outlineLevel="0" collapsed="false">
      <c r="A23" s="5" t="n">
        <v>172</v>
      </c>
      <c r="B23" s="14" t="s">
        <v>38</v>
      </c>
      <c r="C23" s="14" t="n">
        <v>109</v>
      </c>
      <c r="D23" s="14" t="s">
        <v>25</v>
      </c>
      <c r="E23" s="14" t="s">
        <v>33</v>
      </c>
      <c r="F23" s="14" t="s">
        <v>33</v>
      </c>
      <c r="G23" s="14" t="s">
        <v>36</v>
      </c>
      <c r="H23" s="14" t="s">
        <v>40</v>
      </c>
      <c r="I23" s="16" t="s">
        <v>31</v>
      </c>
    </row>
    <row r="24" customFormat="false" ht="14.25" hidden="false" customHeight="false" outlineLevel="0" collapsed="false">
      <c r="A24" s="5" t="n">
        <v>173</v>
      </c>
      <c r="B24" s="14" t="s">
        <v>38</v>
      </c>
      <c r="C24" s="14" t="n">
        <v>109</v>
      </c>
      <c r="D24" s="14" t="s">
        <v>25</v>
      </c>
      <c r="E24" s="14" t="s">
        <v>25</v>
      </c>
      <c r="F24" s="14" t="s">
        <v>33</v>
      </c>
      <c r="G24" s="14" t="s">
        <v>39</v>
      </c>
      <c r="H24" s="16" t="s">
        <v>31</v>
      </c>
      <c r="I24" s="16" t="s">
        <v>31</v>
      </c>
    </row>
    <row r="25" customFormat="false" ht="14.25" hidden="false" customHeight="false" outlineLevel="0" collapsed="false">
      <c r="A25" s="5" t="n">
        <v>174</v>
      </c>
      <c r="B25" s="14" t="s">
        <v>38</v>
      </c>
      <c r="C25" s="14" t="n">
        <v>72</v>
      </c>
      <c r="D25" s="14" t="s">
        <v>25</v>
      </c>
      <c r="E25" s="14" t="s">
        <v>25</v>
      </c>
      <c r="F25" s="14" t="s">
        <v>36</v>
      </c>
      <c r="G25" s="18" t="s">
        <v>30</v>
      </c>
      <c r="H25" s="16" t="s">
        <v>31</v>
      </c>
      <c r="I25" s="16" t="s">
        <v>31</v>
      </c>
    </row>
    <row r="26" customFormat="false" ht="14.25" hidden="false" customHeight="false" outlineLevel="0" collapsed="false">
      <c r="A26" s="5" t="n">
        <v>175</v>
      </c>
      <c r="B26" s="14" t="s">
        <v>38</v>
      </c>
      <c r="C26" s="14" t="n">
        <v>72</v>
      </c>
      <c r="D26" s="14" t="s">
        <v>25</v>
      </c>
      <c r="E26" s="14" t="s">
        <v>25</v>
      </c>
      <c r="F26" s="14" t="s">
        <v>33</v>
      </c>
      <c r="G26" s="14" t="s">
        <v>39</v>
      </c>
      <c r="H26" s="14" t="s">
        <v>40</v>
      </c>
      <c r="I26" s="16" t="s">
        <v>31</v>
      </c>
    </row>
    <row r="27" customFormat="false" ht="14.25" hidden="false" customHeight="false" outlineLevel="0" collapsed="false">
      <c r="A27" s="5" t="n">
        <v>176</v>
      </c>
      <c r="B27" s="14" t="s">
        <v>38</v>
      </c>
      <c r="C27" s="14" t="n">
        <v>72</v>
      </c>
      <c r="D27" s="14" t="s">
        <v>25</v>
      </c>
      <c r="E27" s="14" t="s">
        <v>25</v>
      </c>
      <c r="F27" s="14" t="s">
        <v>36</v>
      </c>
      <c r="G27" s="14" t="s">
        <v>39</v>
      </c>
      <c r="H27" s="16" t="s">
        <v>31</v>
      </c>
      <c r="I27" s="16" t="s">
        <v>31</v>
      </c>
    </row>
    <row r="28" customFormat="false" ht="14.25" hidden="false" customHeight="false" outlineLevel="0" collapsed="false">
      <c r="A28" s="5" t="n">
        <v>177</v>
      </c>
      <c r="B28" s="14" t="s">
        <v>38</v>
      </c>
      <c r="C28" s="14" t="n">
        <v>72</v>
      </c>
      <c r="D28" s="14" t="s">
        <v>25</v>
      </c>
      <c r="E28" s="14" t="s">
        <v>25</v>
      </c>
      <c r="F28" s="14" t="s">
        <v>36</v>
      </c>
      <c r="G28" s="14" t="s">
        <v>36</v>
      </c>
      <c r="H28" s="16" t="s">
        <v>31</v>
      </c>
      <c r="I28" s="16" t="s">
        <v>31</v>
      </c>
    </row>
    <row r="29" customFormat="false" ht="14.25" hidden="false" customHeight="false" outlineLevel="0" collapsed="false">
      <c r="A29" s="5" t="n">
        <v>178</v>
      </c>
      <c r="B29" s="14" t="s">
        <v>38</v>
      </c>
      <c r="C29" s="14" t="n">
        <v>72</v>
      </c>
      <c r="D29" s="14" t="s">
        <v>25</v>
      </c>
      <c r="E29" s="14" t="s">
        <v>25</v>
      </c>
      <c r="F29" s="14" t="s">
        <v>39</v>
      </c>
      <c r="G29" s="14" t="s">
        <v>39</v>
      </c>
      <c r="H29" s="16" t="s">
        <v>31</v>
      </c>
      <c r="I29" s="16" t="s">
        <v>31</v>
      </c>
    </row>
    <row r="30" customFormat="false" ht="14.25" hidden="false" customHeight="false" outlineLevel="0" collapsed="false">
      <c r="A30" s="5" t="n">
        <v>179</v>
      </c>
      <c r="B30" s="14" t="s">
        <v>38</v>
      </c>
      <c r="C30" s="14" t="n">
        <v>72</v>
      </c>
      <c r="D30" s="14" t="s">
        <v>25</v>
      </c>
      <c r="E30" s="14" t="s">
        <v>25</v>
      </c>
      <c r="F30" s="14" t="s">
        <v>33</v>
      </c>
      <c r="G30" s="14" t="s">
        <v>40</v>
      </c>
      <c r="H30" s="14" t="s">
        <v>40</v>
      </c>
      <c r="I30" s="16" t="s">
        <v>31</v>
      </c>
    </row>
    <row r="31" customFormat="false" ht="14.25" hidden="false" customHeight="false" outlineLevel="0" collapsed="false">
      <c r="A31" s="5" t="n">
        <v>180</v>
      </c>
      <c r="B31" s="14" t="s">
        <v>38</v>
      </c>
      <c r="C31" s="14" t="n">
        <v>72</v>
      </c>
      <c r="D31" s="14" t="s">
        <v>25</v>
      </c>
      <c r="E31" s="14" t="s">
        <v>25</v>
      </c>
      <c r="F31" s="14" t="s">
        <v>33</v>
      </c>
      <c r="G31" s="14" t="s">
        <v>39</v>
      </c>
      <c r="H31" s="16" t="s">
        <v>31</v>
      </c>
      <c r="I31" s="16" t="s">
        <v>31</v>
      </c>
    </row>
    <row r="32" customFormat="false" ht="14.25" hidden="false" customHeight="false" outlineLevel="0" collapsed="false">
      <c r="A32" s="5" t="n">
        <v>181</v>
      </c>
      <c r="B32" s="14" t="s">
        <v>38</v>
      </c>
      <c r="C32" s="14" t="n">
        <v>72</v>
      </c>
      <c r="D32" s="14" t="s">
        <v>25</v>
      </c>
      <c r="E32" s="14" t="s">
        <v>25</v>
      </c>
      <c r="F32" s="14" t="s">
        <v>36</v>
      </c>
      <c r="G32" s="14" t="s">
        <v>36</v>
      </c>
      <c r="H32" s="16" t="s">
        <v>31</v>
      </c>
      <c r="I32" s="16" t="s">
        <v>31</v>
      </c>
    </row>
    <row r="33" customFormat="false" ht="14.25" hidden="false" customHeight="false" outlineLevel="0" collapsed="false">
      <c r="A33" s="5" t="n">
        <v>182</v>
      </c>
      <c r="B33" s="14" t="s">
        <v>38</v>
      </c>
      <c r="C33" s="14" t="n">
        <v>72</v>
      </c>
      <c r="D33" s="14" t="s">
        <v>25</v>
      </c>
      <c r="E33" s="14" t="s">
        <v>25</v>
      </c>
      <c r="F33" s="14" t="s">
        <v>33</v>
      </c>
      <c r="G33" s="14" t="s">
        <v>33</v>
      </c>
      <c r="H33" s="14" t="s">
        <v>32</v>
      </c>
      <c r="I33" s="16" t="s">
        <v>31</v>
      </c>
    </row>
    <row r="34" customFormat="false" ht="14.25" hidden="false" customHeight="false" outlineLevel="0" collapsed="false">
      <c r="A34" s="5" t="n">
        <v>183</v>
      </c>
      <c r="B34" s="14" t="s">
        <v>38</v>
      </c>
      <c r="C34" s="14" t="n">
        <v>72</v>
      </c>
      <c r="D34" s="14" t="s">
        <v>25</v>
      </c>
      <c r="E34" s="14" t="s">
        <v>25</v>
      </c>
      <c r="F34" s="14" t="s">
        <v>36</v>
      </c>
      <c r="G34" s="14" t="s">
        <v>40</v>
      </c>
      <c r="H34" s="16" t="s">
        <v>31</v>
      </c>
      <c r="I34" s="16" t="s">
        <v>31</v>
      </c>
    </row>
    <row r="35" customFormat="false" ht="14.25" hidden="false" customHeight="false" outlineLevel="0" collapsed="false">
      <c r="A35" s="5" t="n">
        <v>184</v>
      </c>
      <c r="B35" s="14" t="s">
        <v>38</v>
      </c>
      <c r="C35" s="14" t="n">
        <v>67</v>
      </c>
      <c r="D35" s="14" t="s">
        <v>25</v>
      </c>
      <c r="E35" s="15" t="s">
        <v>10</v>
      </c>
      <c r="F35" s="15" t="s">
        <v>10</v>
      </c>
      <c r="G35" s="15" t="s">
        <v>10</v>
      </c>
      <c r="H35" s="15" t="s">
        <v>10</v>
      </c>
      <c r="I35" s="15" t="s">
        <v>10</v>
      </c>
    </row>
    <row r="36" customFormat="false" ht="14.25" hidden="false" customHeight="false" outlineLevel="0" collapsed="false">
      <c r="A36" s="5" t="n">
        <v>185</v>
      </c>
      <c r="B36" s="14" t="s">
        <v>38</v>
      </c>
      <c r="C36" s="14" t="n">
        <v>67</v>
      </c>
      <c r="D36" s="14" t="s">
        <v>25</v>
      </c>
      <c r="E36" s="14" t="s">
        <v>33</v>
      </c>
      <c r="F36" s="14" t="s">
        <v>39</v>
      </c>
      <c r="G36" s="14" t="s">
        <v>39</v>
      </c>
      <c r="H36" s="16" t="s">
        <v>31</v>
      </c>
      <c r="I36" s="16" t="s">
        <v>31</v>
      </c>
    </row>
    <row r="37" customFormat="false" ht="14.25" hidden="false" customHeight="false" outlineLevel="0" collapsed="false">
      <c r="A37" s="5" t="n">
        <v>186</v>
      </c>
      <c r="B37" s="14" t="s">
        <v>38</v>
      </c>
      <c r="C37" s="14" t="n">
        <v>67</v>
      </c>
      <c r="D37" s="14" t="s">
        <v>25</v>
      </c>
      <c r="E37" s="14" t="s">
        <v>25</v>
      </c>
      <c r="F37" s="14" t="s">
        <v>33</v>
      </c>
      <c r="G37" s="14" t="s">
        <v>40</v>
      </c>
      <c r="H37" s="16" t="s">
        <v>31</v>
      </c>
      <c r="I37" s="16" t="s">
        <v>31</v>
      </c>
    </row>
    <row r="38" customFormat="false" ht="14.25" hidden="false" customHeight="false" outlineLevel="0" collapsed="false">
      <c r="A38" s="5" t="n">
        <v>187</v>
      </c>
      <c r="B38" s="14" t="s">
        <v>38</v>
      </c>
      <c r="C38" s="14" t="n">
        <v>67</v>
      </c>
      <c r="D38" s="14" t="s">
        <v>25</v>
      </c>
      <c r="E38" s="14" t="s">
        <v>25</v>
      </c>
      <c r="F38" s="14" t="s">
        <v>36</v>
      </c>
      <c r="G38" s="14" t="s">
        <v>40</v>
      </c>
      <c r="H38" s="16" t="s">
        <v>31</v>
      </c>
      <c r="I38" s="16" t="s">
        <v>31</v>
      </c>
    </row>
    <row r="39" customFormat="false" ht="14.25" hidden="false" customHeight="false" outlineLevel="0" collapsed="false">
      <c r="A39" s="5" t="n">
        <v>188</v>
      </c>
      <c r="B39" s="14" t="s">
        <v>38</v>
      </c>
      <c r="C39" s="14" t="n">
        <v>67</v>
      </c>
      <c r="D39" s="14" t="s">
        <v>25</v>
      </c>
      <c r="E39" s="14" t="s">
        <v>25</v>
      </c>
      <c r="F39" s="14" t="s">
        <v>39</v>
      </c>
      <c r="G39" s="16" t="s">
        <v>31</v>
      </c>
      <c r="H39" s="16" t="s">
        <v>31</v>
      </c>
      <c r="I39" s="16" t="s">
        <v>31</v>
      </c>
    </row>
    <row r="40" customFormat="false" ht="14.25" hidden="false" customHeight="false" outlineLevel="0" collapsed="false">
      <c r="A40" s="5" t="n">
        <v>189</v>
      </c>
      <c r="B40" s="14" t="s">
        <v>38</v>
      </c>
      <c r="C40" s="14" t="n">
        <v>67</v>
      </c>
      <c r="D40" s="14" t="s">
        <v>25</v>
      </c>
      <c r="E40" s="14" t="s">
        <v>25</v>
      </c>
      <c r="F40" s="14" t="s">
        <v>33</v>
      </c>
      <c r="G40" s="16" t="s">
        <v>31</v>
      </c>
      <c r="H40" s="16" t="s">
        <v>31</v>
      </c>
      <c r="I40" s="16" t="s">
        <v>31</v>
      </c>
    </row>
    <row r="41" customFormat="false" ht="14.25" hidden="false" customHeight="false" outlineLevel="0" collapsed="false">
      <c r="A41" s="5" t="n">
        <v>190</v>
      </c>
      <c r="B41" s="14" t="s">
        <v>38</v>
      </c>
      <c r="C41" s="14" t="n">
        <v>67</v>
      </c>
      <c r="D41" s="14" t="s">
        <v>25</v>
      </c>
      <c r="E41" s="14" t="s">
        <v>25</v>
      </c>
      <c r="F41" s="14" t="s">
        <v>36</v>
      </c>
      <c r="G41" s="16" t="s">
        <v>31</v>
      </c>
      <c r="H41" s="16" t="s">
        <v>31</v>
      </c>
      <c r="I41" s="16" t="s">
        <v>31</v>
      </c>
    </row>
    <row r="42" customFormat="false" ht="14.25" hidden="false" customHeight="false" outlineLevel="0" collapsed="false">
      <c r="A42" s="5" t="n">
        <v>191</v>
      </c>
      <c r="B42" s="14" t="s">
        <v>38</v>
      </c>
      <c r="C42" s="14" t="n">
        <v>67</v>
      </c>
      <c r="D42" s="14" t="s">
        <v>25</v>
      </c>
      <c r="E42" s="14" t="s">
        <v>25</v>
      </c>
      <c r="F42" s="14" t="s">
        <v>39</v>
      </c>
      <c r="G42" s="14" t="s">
        <v>30</v>
      </c>
      <c r="H42" s="16" t="s">
        <v>31</v>
      </c>
      <c r="I42" s="16" t="s">
        <v>31</v>
      </c>
    </row>
    <row r="43" customFormat="false" ht="14.25" hidden="false" customHeight="false" outlineLevel="0" collapsed="false">
      <c r="A43" s="5" t="n">
        <v>192</v>
      </c>
      <c r="B43" s="14" t="s">
        <v>38</v>
      </c>
      <c r="C43" s="14" t="n">
        <v>67</v>
      </c>
      <c r="D43" s="14" t="s">
        <v>25</v>
      </c>
      <c r="E43" s="14" t="s">
        <v>25</v>
      </c>
      <c r="F43" s="14" t="s">
        <v>33</v>
      </c>
      <c r="G43" s="14" t="s">
        <v>36</v>
      </c>
      <c r="H43" s="14" t="s">
        <v>40</v>
      </c>
      <c r="I43" s="16" t="s">
        <v>31</v>
      </c>
    </row>
    <row r="44" customFormat="false" ht="14.25" hidden="false" customHeight="false" outlineLevel="0" collapsed="false">
      <c r="A44" s="5" t="n">
        <v>193</v>
      </c>
      <c r="B44" s="14" t="s">
        <v>38</v>
      </c>
      <c r="C44" s="14" t="n">
        <v>66</v>
      </c>
      <c r="D44" s="14" t="s">
        <v>25</v>
      </c>
      <c r="E44" s="14" t="s">
        <v>33</v>
      </c>
      <c r="F44" s="14" t="s">
        <v>33</v>
      </c>
      <c r="G44" s="14" t="s">
        <v>41</v>
      </c>
      <c r="H44" s="16" t="s">
        <v>31</v>
      </c>
      <c r="I44" s="16" t="s">
        <v>31</v>
      </c>
    </row>
    <row r="45" customFormat="false" ht="14.25" hidden="false" customHeight="false" outlineLevel="0" collapsed="false">
      <c r="A45" s="5" t="n">
        <v>194</v>
      </c>
      <c r="B45" s="14" t="s">
        <v>38</v>
      </c>
      <c r="C45" s="14" t="n">
        <v>66</v>
      </c>
      <c r="D45" s="14" t="s">
        <v>25</v>
      </c>
      <c r="E45" s="14" t="s">
        <v>33</v>
      </c>
      <c r="F45" s="14" t="s">
        <v>36</v>
      </c>
      <c r="G45" s="14" t="s">
        <v>39</v>
      </c>
      <c r="H45" s="16" t="s">
        <v>31</v>
      </c>
      <c r="I45" s="16" t="s">
        <v>31</v>
      </c>
    </row>
    <row r="46" customFormat="false" ht="14.25" hidden="false" customHeight="false" outlineLevel="0" collapsed="false">
      <c r="A46" s="5" t="n">
        <v>195</v>
      </c>
      <c r="B46" s="14" t="s">
        <v>38</v>
      </c>
      <c r="C46" s="14" t="n">
        <v>66</v>
      </c>
      <c r="D46" s="14" t="s">
        <v>25</v>
      </c>
      <c r="E46" s="14" t="s">
        <v>33</v>
      </c>
      <c r="F46" s="14" t="s">
        <v>36</v>
      </c>
      <c r="G46" s="14" t="s">
        <v>39</v>
      </c>
      <c r="H46" s="16" t="s">
        <v>31</v>
      </c>
      <c r="I46" s="16" t="s">
        <v>31</v>
      </c>
    </row>
    <row r="47" customFormat="false" ht="14.25" hidden="false" customHeight="false" outlineLevel="0" collapsed="false">
      <c r="A47" s="5" t="n">
        <v>196</v>
      </c>
      <c r="B47" s="14" t="s">
        <v>38</v>
      </c>
      <c r="C47" s="14" t="n">
        <v>66</v>
      </c>
      <c r="D47" s="14" t="s">
        <v>25</v>
      </c>
      <c r="E47" s="14" t="s">
        <v>25</v>
      </c>
      <c r="F47" s="14" t="s">
        <v>36</v>
      </c>
      <c r="G47" s="14" t="s">
        <v>40</v>
      </c>
      <c r="H47" s="16" t="s">
        <v>31</v>
      </c>
      <c r="I47" s="16" t="s">
        <v>31</v>
      </c>
    </row>
    <row r="48" customFormat="false" ht="14.25" hidden="false" customHeight="false" outlineLevel="0" collapsed="false">
      <c r="A48" s="5" t="n">
        <v>197</v>
      </c>
      <c r="B48" s="14" t="s">
        <v>38</v>
      </c>
      <c r="C48" s="14" t="n">
        <v>66</v>
      </c>
      <c r="D48" s="14" t="s">
        <v>25</v>
      </c>
      <c r="E48" s="14" t="s">
        <v>25</v>
      </c>
      <c r="F48" s="14" t="s">
        <v>33</v>
      </c>
      <c r="G48" s="14" t="s">
        <v>40</v>
      </c>
      <c r="H48" s="16" t="s">
        <v>31</v>
      </c>
      <c r="I48" s="16" t="s">
        <v>31</v>
      </c>
    </row>
    <row r="49" customFormat="false" ht="14.25" hidden="false" customHeight="false" outlineLevel="0" collapsed="false">
      <c r="A49" s="5" t="n">
        <v>198</v>
      </c>
      <c r="B49" s="14" t="s">
        <v>38</v>
      </c>
      <c r="C49" s="14" t="n">
        <v>66</v>
      </c>
      <c r="D49" s="14" t="s">
        <v>25</v>
      </c>
      <c r="E49" s="14" t="s">
        <v>33</v>
      </c>
      <c r="F49" s="14" t="s">
        <v>36</v>
      </c>
      <c r="G49" s="14" t="s">
        <v>39</v>
      </c>
      <c r="H49" s="16" t="s">
        <v>31</v>
      </c>
      <c r="I49" s="16" t="s">
        <v>31</v>
      </c>
    </row>
    <row r="50" customFormat="false" ht="14.25" hidden="false" customHeight="false" outlineLevel="0" collapsed="false">
      <c r="A50" s="5" t="n">
        <v>199</v>
      </c>
      <c r="B50" s="14" t="s">
        <v>38</v>
      </c>
      <c r="C50" s="14" t="n">
        <v>57</v>
      </c>
      <c r="D50" s="14" t="s">
        <v>25</v>
      </c>
      <c r="E50" s="14" t="s">
        <v>25</v>
      </c>
      <c r="F50" s="14" t="s">
        <v>33</v>
      </c>
      <c r="G50" s="14" t="s">
        <v>36</v>
      </c>
      <c r="H50" s="16" t="s">
        <v>31</v>
      </c>
      <c r="I50" s="16" t="s">
        <v>31</v>
      </c>
    </row>
    <row r="51" customFormat="false" ht="14.25" hidden="false" customHeight="false" outlineLevel="0" collapsed="false">
      <c r="A51" s="5" t="n">
        <v>200</v>
      </c>
      <c r="B51" s="14" t="s">
        <v>38</v>
      </c>
      <c r="C51" s="14" t="n">
        <v>57</v>
      </c>
      <c r="D51" s="14" t="s">
        <v>25</v>
      </c>
      <c r="E51" s="14" t="s">
        <v>25</v>
      </c>
      <c r="F51" s="14" t="s">
        <v>33</v>
      </c>
      <c r="G51" s="14" t="s">
        <v>39</v>
      </c>
      <c r="H51" s="16" t="s">
        <v>31</v>
      </c>
      <c r="I51" s="16" t="s">
        <v>31</v>
      </c>
    </row>
    <row r="54" customFormat="false" ht="14.25" hidden="false" customHeight="false" outlineLevel="0" collapsed="false">
      <c r="C54" s="0" t="s">
        <v>12</v>
      </c>
      <c r="D54" s="0" t="s">
        <v>13</v>
      </c>
      <c r="E54" s="0" t="s">
        <v>14</v>
      </c>
      <c r="F54" s="0" t="s">
        <v>15</v>
      </c>
      <c r="G54" s="0" t="s">
        <v>16</v>
      </c>
      <c r="H54" s="0" t="s">
        <v>17</v>
      </c>
    </row>
    <row r="55" customFormat="false" ht="14.25" hidden="false" customHeight="false" outlineLevel="0" collapsed="false">
      <c r="C55" s="0" t="n">
        <v>0</v>
      </c>
      <c r="D55" s="0" t="n">
        <v>0</v>
      </c>
      <c r="E55" s="0" t="n">
        <v>0</v>
      </c>
      <c r="F55" s="0" t="n">
        <v>7</v>
      </c>
      <c r="G55" s="0" t="n">
        <v>34</v>
      </c>
      <c r="H55" s="0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R4" activeCellId="0" sqref="R4"/>
    </sheetView>
  </sheetViews>
  <sheetFormatPr defaultColWidth="10.7304687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Metadata/LabelInfo.xml><?xml version="1.0" encoding="utf-8"?>
<clbl:labelList xmlns:clbl="http://schemas.microsoft.com/office/2020/mipLabelMetadata">
  <clbl:label id="{23f2899f-db8c-4cca-b140-b39ed4474b90}" enabled="0" method="" siteId="{23f2899f-db8c-4cca-b140-b39ed4474b9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2026-08-13T00:59:42Z</dcterms:created>
  <dc:creator>Cristina Ardila</dc:creator>
  <dc:description/>
  <dc:language>es-MX</dc:language>
  <cp:lastModifiedBy/>
  <cp:lastPrinted>2026-08-26T13:50:32Z</cp:lastPrinted>
  <dcterms:modified xsi:type="dcterms:W3CDTF">2026-08-27T18:31:24Z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